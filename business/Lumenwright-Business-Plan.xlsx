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· Start Here" sheetId="1" state="visible" r:id="rId1"/>
    <sheet name="1 · Business Plan" sheetId="2" state="visible" r:id="rId2"/>
    <sheet name="2 · GTM + Workback" sheetId="3" state="visible" r:id="rId3"/>
    <sheet name="3 · Phased Approach" sheetId="4" state="visible" r:id="rId4"/>
    <sheet name="4 · Revenue Engine" sheetId="5" state="visible" r:id="rId5"/>
    <sheet name="5 · Forecast" sheetId="6" state="visible" r:id="rId6"/>
    <sheet name="6 · Designer Network" sheetId="7" state="visible" r:id="rId7"/>
    <sheet name="7 · Digital Marketing" sheetId="8" state="visible" r:id="rId8"/>
    <sheet name="8 · Vendors + Sourcing" sheetId="9" state="visible" r:id="rId9"/>
    <sheet name="9 · Funding + Startu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2B2416"/>
      <sz val="18"/>
    </font>
    <font>
      <name val="Calibri"/>
      <i val="1"/>
      <color rgb="006B6353"/>
      <sz val="10"/>
    </font>
    <font>
      <name val="Georgia"/>
      <b val="1"/>
      <color rgb="002B2416"/>
      <sz val="13"/>
    </font>
    <font>
      <name val="Calibri"/>
      <b val="1"/>
      <color rgb="002B2416"/>
      <sz val="10"/>
    </font>
    <font>
      <name val="Calibri"/>
      <color rgb="002B2416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FE7D7"/>
      </patternFill>
    </fill>
    <fill>
      <patternFill patternType="solid">
        <fgColor rgb="002B2416"/>
      </patternFill>
    </fill>
    <fill>
      <patternFill patternType="solid">
        <fgColor rgb="00F5F0E6"/>
      </patternFill>
    </fill>
    <fill>
      <patternFill patternType="solid">
        <fgColor rgb="00FFF3C4"/>
      </patternFill>
    </fill>
    <fill>
      <patternFill patternType="solid">
        <fgColor rgb="00E8F3EC"/>
      </patternFill>
    </fill>
  </fills>
  <borders count="2">
    <border>
      <left/>
      <right/>
      <top/>
      <bottom/>
      <diagonal/>
    </border>
    <border>
      <left style="thin">
        <color rgb="00D8CFBE"/>
      </left>
      <right style="thin">
        <color rgb="00D8CFBE"/>
      </right>
      <top style="thin">
        <color rgb="00D8CFBE"/>
      </top>
      <bottom style="thin">
        <color rgb="00D8CFB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2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3" fontId="4" fillId="5" borderId="0" pivotButton="0" quotePrefix="0" xfId="0"/>
    <xf numFmtId="9" fontId="4" fillId="5" borderId="0" pivotButton="0" quotePrefix="0" xfId="0"/>
    <xf numFmtId="2" fontId="4" fillId="5" borderId="0" pivotButton="0" quotePrefix="0" xfId="0"/>
    <xf numFmtId="0" fontId="6" fillId="3" borderId="0" pivotButton="0" quotePrefix="0" xfId="0"/>
    <xf numFmtId="1" fontId="5" fillId="5" borderId="1" pivotButton="0" quotePrefix="0" xfId="0"/>
    <xf numFmtId="1" fontId="5" fillId="0" borderId="1" pivotButton="0" quotePrefix="0" xfId="0"/>
    <xf numFmtId="3" fontId="4" fillId="0" borderId="0" pivotButton="0" quotePrefix="0" xfId="0"/>
    <xf numFmtId="3" fontId="5" fillId="0" borderId="1" pivotButton="0" quotePrefix="0" xfId="0"/>
    <xf numFmtId="0" fontId="4" fillId="0" borderId="0" pivotButton="0" quotePrefix="0" xfId="0"/>
    <xf numFmtId="3" fontId="4" fillId="6" borderId="1" pivotButton="0" quotePrefix="0" xfId="0"/>
    <xf numFmtId="3" fontId="4" fillId="0" borderId="1" pivotButton="0" quotePrefix="0" xfId="0"/>
    <xf numFmtId="9" fontId="0" fillId="0" borderId="0" pivotButton="0" quotePrefix="0" xfId="0"/>
    <xf numFmtId="9" fontId="5" fillId="0" borderId="1" pivotButton="0" quotePrefix="0" xfId="0"/>
    <xf numFmtId="3" fontId="5" fillId="5" borderId="1" pivotButton="0" quotePrefix="0" xfId="0"/>
    <xf numFmtId="3" fontId="5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26" customHeight="1">
      <c r="A1" s="1" t="inlineStr">
        <is>
          <t>LUMENWRIGHT — MASTER BUSINESS PLAN</t>
        </is>
      </c>
    </row>
    <row r="2">
      <c r="A2" s="2" t="inlineStr">
        <is>
          <t>The Light Atelier: custom lighting installations · vintage rehabilitation · rare chandelier repair · turnkey LED retrofit · Vela Series proprietary LED · AI Lighting Studio · Designer Network</t>
        </is>
      </c>
    </row>
    <row r="3">
      <c r="A3" s="2" t="inlineStr">
        <is>
          <t>Prepared July 7, 2026 · Living document — every number is an editable assumption, not a promise</t>
        </is>
      </c>
    </row>
    <row r="5">
      <c r="A5" s="3" t="inlineStr">
        <is>
          <t>HOW TO USE THIS WORKBOOK</t>
        </is>
      </c>
      <c r="B5" s="4" t="n"/>
    </row>
    <row r="6">
      <c r="A6" s="5" t="inlineStr">
        <is>
          <t>1 · Business Plan</t>
        </is>
      </c>
      <c r="B6" s="6" t="inlineStr">
        <is>
          <t>The full plan: market, customers, competition, operations, team, risk. Read first.</t>
        </is>
      </c>
    </row>
    <row r="7">
      <c r="A7" s="5" t="inlineStr">
        <is>
          <t>2 · GTM + Workback</t>
        </is>
      </c>
      <c r="B7" s="6" t="inlineStr">
        <is>
          <t>Go-to-market strategy and the dated week-by-week workback schedule to the Oct 1, 2026 launch.</t>
        </is>
      </c>
    </row>
    <row r="8">
      <c r="A8" s="5" t="inlineStr">
        <is>
          <t>3 · Phased Approach</t>
        </is>
      </c>
      <c r="B8" s="6" t="inlineStr">
        <is>
          <t>Five phases from foundation to scale, each with entry/exit gates. Don't skip gates.</t>
        </is>
      </c>
    </row>
    <row r="9">
      <c r="A9" s="5" t="inlineStr">
        <is>
          <t>4 · Revenue Engine</t>
        </is>
      </c>
      <c r="B9" s="6" t="inlineStr">
        <is>
          <t>How every dollar is made: six streams, unit economics, pricing, LTV/CAC, cash cycle.</t>
        </is>
      </c>
    </row>
    <row r="10">
      <c r="A10" s="5" t="inlineStr">
        <is>
          <t>5 · Forecast</t>
        </is>
      </c>
      <c r="B10" s="6" t="inlineStr">
        <is>
          <t>36-month financial model with live formulas. Change the yellow assumption cells; everything recalculates.</t>
        </is>
      </c>
    </row>
    <row r="11">
      <c r="A11" s="5" t="inlineStr">
        <is>
          <t>6 · Designer Network</t>
        </is>
      </c>
      <c r="B11" s="6" t="inlineStr">
        <is>
          <t>The supply side: recruiting, vetting, economics, and scaling the designer partner network.</t>
        </is>
      </c>
    </row>
    <row r="12">
      <c r="A12" s="5" t="inlineStr">
        <is>
          <t>7 · Digital Marketing</t>
        </is>
      </c>
      <c r="B12" s="6" t="inlineStr">
        <is>
          <t>SEO, content, social strategy by platform, paid media, email, and the 12-week launch calendar.</t>
        </is>
      </c>
    </row>
    <row r="13">
      <c r="A13" s="5" t="inlineStr">
        <is>
          <t>8 · Vendors + Sourcing</t>
        </is>
      </c>
      <c r="B13" s="6" t="inlineStr">
        <is>
          <t>Who actually makes and supplies everything — named suppliers, sourcing process, vetting checklist.</t>
        </is>
      </c>
    </row>
    <row r="14">
      <c r="A14" s="5" t="inlineStr">
        <is>
          <t>9 · Funding + Startup Costs</t>
        </is>
      </c>
      <c r="B14" s="6" t="inlineStr">
        <is>
          <t>Itemized startup budget and the SBA-anchored funding stack, with lender requirements.</t>
        </is>
      </c>
    </row>
    <row r="16">
      <c r="A16" s="3" t="inlineStr">
        <is>
          <t>THE TEN NUMBERS THAT MATTER</t>
        </is>
      </c>
      <c r="B16" s="4" t="n"/>
    </row>
    <row r="17">
      <c r="A17" s="7" t="inlineStr">
        <is>
          <t>#</t>
        </is>
      </c>
      <c r="B17" s="7" t="inlineStr">
        <is>
          <t>Metric</t>
        </is>
      </c>
      <c r="C17" s="7" t="inlineStr">
        <is>
          <t>Target</t>
        </is>
      </c>
      <c r="D17" s="7" t="inlineStr">
        <is>
          <t>Why it matters</t>
        </is>
      </c>
    </row>
    <row r="18">
      <c r="A18" s="6" t="n">
        <v>1</v>
      </c>
      <c r="B18" s="6" t="inlineStr">
        <is>
          <t>Launch date</t>
        </is>
      </c>
      <c r="C18" s="6" t="inlineStr">
        <is>
          <t>Oct 1, 2026</t>
        </is>
      </c>
      <c r="D18" s="6" t="inlineStr">
        <is>
          <t>Everything in the workback drives to this</t>
        </is>
      </c>
    </row>
    <row r="19">
      <c r="A19" s="8" t="n">
        <v>2</v>
      </c>
      <c r="B19" s="8" t="inlineStr">
        <is>
          <t>Startup capital required</t>
        </is>
      </c>
      <c r="C19" s="8" t="inlineStr">
        <is>
          <t>$118,500</t>
        </is>
      </c>
      <c r="D19" s="8" t="inlineStr">
        <is>
          <t>See Funding tab — funded by ~$18.5k owner + ~$100k SBA</t>
        </is>
      </c>
    </row>
    <row r="20">
      <c r="A20" s="6" t="n">
        <v>3</v>
      </c>
      <c r="B20" s="6" t="inlineStr">
        <is>
          <t>Lighthouse projects (Phase 1)</t>
        </is>
      </c>
      <c r="C20" s="6" t="inlineStr">
        <is>
          <t>10 by Mar 2027</t>
        </is>
      </c>
      <c r="D20" s="6" t="inlineStr">
        <is>
          <t>Case studies are the marketing engine; nothing scales without them</t>
        </is>
      </c>
    </row>
    <row r="21">
      <c r="A21" s="8" t="n">
        <v>4</v>
      </c>
      <c r="B21" s="8" t="inlineStr">
        <is>
          <t>Year 1 revenue (conservative)</t>
        </is>
      </c>
      <c r="C21" s="8" t="inlineStr">
        <is>
          <t>≈$380,000</t>
        </is>
      </c>
      <c r="D21" s="8" t="inlineStr">
        <is>
          <t>Forecast tab base case — edit the yellow cells to make it yours</t>
        </is>
      </c>
    </row>
    <row r="22">
      <c r="A22" s="6" t="n">
        <v>5</v>
      </c>
      <c r="B22" s="6" t="inlineStr">
        <is>
          <t>Blended gross margin</t>
        </is>
      </c>
      <c r="C22" s="6" t="inlineStr">
        <is>
          <t>≥45%</t>
        </is>
      </c>
      <c r="D22" s="6" t="inlineStr">
        <is>
          <t>Below 40% = pricing problem; fix before scaling</t>
        </is>
      </c>
    </row>
    <row r="23">
      <c r="A23" s="8" t="n">
        <v>6</v>
      </c>
      <c r="B23" s="8" t="inlineStr">
        <is>
          <t>Cash-flow breakeven</t>
        </is>
      </c>
      <c r="C23" s="8" t="inlineStr">
        <is>
          <t>Month 10–12</t>
        </is>
      </c>
      <c r="D23" s="8" t="inlineStr">
        <is>
          <t>Made-to-order deposits make this achievable</t>
        </is>
      </c>
    </row>
    <row r="24">
      <c r="A24" s="6" t="n">
        <v>7</v>
      </c>
      <c r="B24" s="6" t="inlineStr">
        <is>
          <t>Founding designers signed</t>
        </is>
      </c>
      <c r="C24" s="6" t="inlineStr">
        <is>
          <t>8 by Dec 2026</t>
        </is>
      </c>
      <c r="D24" s="6" t="inlineStr">
        <is>
          <t>Network gate for Phase 2</t>
        </is>
      </c>
    </row>
    <row r="25">
      <c r="A25" s="8" t="n">
        <v>8</v>
      </c>
      <c r="B25" s="8" t="inlineStr">
        <is>
          <t>AI Studio → consult conversion</t>
        </is>
      </c>
      <c r="C25" s="8" t="inlineStr">
        <is>
          <t>≥8%</t>
        </is>
      </c>
      <c r="D25" s="8" t="inlineStr">
        <is>
          <t>The funnel's core efficiency metric</t>
        </is>
      </c>
    </row>
    <row r="26">
      <c r="A26" s="6" t="n">
        <v>9</v>
      </c>
      <c r="B26" s="6" t="inlineStr">
        <is>
          <t>Customer acquisition cost</t>
        </is>
      </c>
      <c r="C26" s="6" t="inlineStr">
        <is>
          <t>≤$450 residential / ≤$1,200 commercial</t>
        </is>
      </c>
      <c r="D26" s="6" t="inlineStr">
        <is>
          <t>Payback in first project or the channel is off</t>
        </is>
      </c>
    </row>
    <row r="27">
      <c r="A27" s="8" t="n">
        <v>10</v>
      </c>
      <c r="B27" s="8" t="inlineStr">
        <is>
          <t>5-yr service plan attach rate</t>
        </is>
      </c>
      <c r="C27" s="8" t="inlineStr">
        <is>
          <t>100% of turnkey projects</t>
        </is>
      </c>
      <c r="D27" s="8" t="inlineStr">
        <is>
          <t>This is the moat and the recurring revenue base</t>
        </is>
      </c>
    </row>
    <row r="29">
      <c r="A29" s="3" t="inlineStr">
        <is>
          <t>OPERATING PRINCIPLES</t>
        </is>
      </c>
      <c r="B29" s="4" t="n"/>
    </row>
    <row r="30">
      <c r="A30" s="2" t="inlineStr">
        <is>
          <t>1. Deposits before parts — 50% on order, made-to-order only. Working capital stays positive.</t>
        </is>
      </c>
    </row>
    <row r="31">
      <c r="A31" s="2" t="inlineStr">
        <is>
          <t>2. No claim we can't defend — licensing, savings math, and lead times are stated exactly.</t>
        </is>
      </c>
    </row>
    <row r="32">
      <c r="A32" s="2" t="inlineStr">
        <is>
          <t>3. Every project produces an asset — photos, a case study, a review, a referral ask. No exceptions.</t>
        </is>
      </c>
    </row>
    <row r="33">
      <c r="A33" s="2" t="inlineStr">
        <is>
          <t>4. The AI studio is a funnel, not a product. A human closes every deal.</t>
        </is>
      </c>
    </row>
    <row r="34">
      <c r="A34" s="2" t="inlineStr">
        <is>
          <t>5. Retrofit pays the bills; restoration builds the brand; Vela builds the equity.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42" customWidth="1" min="4" max="4"/>
    <col width="20" customWidth="1" min="5" max="5"/>
  </cols>
  <sheetData>
    <row r="1" ht="26" customHeight="1">
      <c r="A1" s="1" t="inlineStr">
        <is>
          <t>1 · THE BUSINESS PLAN</t>
        </is>
      </c>
    </row>
    <row r="3">
      <c r="A3" s="3" t="inlineStr">
        <is>
          <t>1.1 COMPANY OVERVIEW</t>
        </is>
      </c>
      <c r="B3" s="4" t="n"/>
      <c r="C3" s="4" t="n"/>
      <c r="D3" s="4" t="n"/>
      <c r="E3" s="4" t="n"/>
    </row>
    <row r="4">
      <c r="A4" s="5" t="inlineStr">
        <is>
          <t>Legal form</t>
        </is>
      </c>
      <c r="B4" s="6" t="inlineStr">
        <is>
          <t>Single-member LLC (elect S-corp at ~$60k+ owner pay); registered in home state; DBA 'Lumenwright'</t>
        </is>
      </c>
    </row>
    <row r="5">
      <c r="A5" s="5" t="inlineStr">
        <is>
          <t>What we do</t>
        </is>
      </c>
      <c r="B5" s="6" t="inlineStr">
        <is>
          <t>One studio for the full life of light: design + build custom fixtures, restore vintage/rare fixtures, repair chandeliers, and convert buildings to LED under a turnkey program with 5 years of included service</t>
        </is>
      </c>
    </row>
    <row r="6">
      <c r="A6" s="5" t="inlineStr">
        <is>
          <t>Vertically integrated model</t>
        </is>
      </c>
      <c r="B6" s="6" t="inlineStr">
        <is>
          <t>Design → specification → procurement (manufacturer partners) → delivery → installation (licensed partner/staff) → 5-yr service. One accountable party.</t>
        </is>
      </c>
    </row>
    <row r="7">
      <c r="A7" s="5" t="inlineStr">
        <is>
          <t>Proprietary product</t>
        </is>
      </c>
      <c r="B7" s="6" t="inlineStr">
        <is>
          <t>Vela Series architectural LED line (channel, downlight, cove, façade, controls) — third-party manufactured, spec'd through our projects first, sold to trade second</t>
        </is>
      </c>
    </row>
    <row r="8">
      <c r="A8" s="5" t="inlineStr">
        <is>
          <t>Technology edge</t>
        </is>
      </c>
      <c r="B8" s="6" t="inlineStr">
        <is>
          <t>AI Lighting Studio: photo → personalized 3-layer lighting plan → designer-reviewed consult. 24/7 lead qualification no competitor in the niche has.</t>
        </is>
      </c>
    </row>
    <row r="9">
      <c r="A9" s="5" t="inlineStr">
        <is>
          <t>Assets already built</t>
        </is>
      </c>
      <c r="B9" s="6" t="inlineStr">
        <is>
          <t>Live website (Next.js/Vercel), Supabase operations database (catalog, orders, leads, referrals), designer network infrastructure, AI analysis pipeline</t>
        </is>
      </c>
    </row>
    <row r="11">
      <c r="A11" s="3" t="inlineStr">
        <is>
          <t>1.2 THE PROBLEM</t>
        </is>
      </c>
      <c r="B11" s="4" t="n"/>
      <c r="C11" s="4" t="n"/>
      <c r="D11" s="4" t="n"/>
      <c r="E11" s="4" t="n"/>
    </row>
    <row r="12">
      <c r="A12" s="2" t="inlineStr">
        <is>
          <t>Homeowners/designers with vintage fixtures have almost nowhere to take them — electricians won't touch crystal, and restorers won't touch wiring.</t>
        </is>
      </c>
    </row>
    <row r="13">
      <c r="A13" s="2" t="inlineStr">
        <is>
          <t>Small/mid commercial buildings overpay for lighting energy because national ESCOs ignore projects under ~$250k and electricians sell hardware, not outcomes (no audit, no rebate filing, no service).</t>
        </is>
      </c>
    </row>
    <row r="14">
      <c r="A14" s="2" t="inlineStr">
        <is>
          <t>Design-driven clients can't buy 'one accountable party' — they assemble designer + showroom + electrician + handyman and absorb the seams.</t>
        </is>
      </c>
    </row>
    <row r="15">
      <c r="A15" s="2" t="inlineStr">
        <is>
          <t>Independent lighting designers lose projects because they lack fabrication, product margin, and installation muscle behind them.</t>
        </is>
      </c>
    </row>
    <row r="17">
      <c r="A17" s="3" t="inlineStr">
        <is>
          <t>1.3 MARKET (estimates — validate locally in Phase 0)</t>
        </is>
      </c>
      <c r="B17" s="4" t="n"/>
      <c r="C17" s="4" t="n"/>
      <c r="D17" s="4" t="n"/>
      <c r="E17" s="4" t="n"/>
    </row>
    <row r="18">
      <c r="A18" s="7" t="inlineStr">
        <is>
          <t>Segment</t>
        </is>
      </c>
      <c r="B18" s="7" t="inlineStr">
        <is>
          <t>Size signal</t>
        </is>
      </c>
      <c r="C18" s="7" t="inlineStr">
        <is>
          <t>Our slice (SOM logic)</t>
        </is>
      </c>
    </row>
    <row r="19">
      <c r="A19" s="6" t="inlineStr">
        <is>
          <t>US lighting fixtures market</t>
        </is>
      </c>
      <c r="B19" s="6" t="inlineStr">
        <is>
          <t>≈$30B+ annual, LED share still growing</t>
        </is>
      </c>
      <c r="C19" s="6" t="inlineStr">
        <is>
          <t>We are not chasing share; we are extracting high-margin niches</t>
        </is>
      </c>
    </row>
    <row r="20">
      <c r="A20" s="8" t="inlineStr">
        <is>
          <t>Commercial LED retrofit services</t>
        </is>
      </c>
      <c r="B20" s="8" t="inlineStr">
        <is>
          <t>Tens of $B remaining conversion backlog; ~half of US commercial floorspace still has fluorescent/HID</t>
        </is>
      </c>
      <c r="C20" s="8" t="inlineStr">
        <is>
          <t>Local SMB buildings 10k–100k sq ft: offices, gyms, warehouses, churches, retail</t>
        </is>
      </c>
    </row>
    <row r="21">
      <c r="A21" s="6" t="inlineStr">
        <is>
          <t>Lighting restoration/repair</t>
        </is>
      </c>
      <c r="B21" s="6" t="inlineStr">
        <is>
          <t>Fragmented cottage industry; no dominant brand; strong search demand, thin supply</t>
        </is>
      </c>
      <c r="C21" s="6" t="inlineStr">
        <is>
          <t>Regional monopoly potential within 12–18 months; national via ship-in commissions</t>
        </is>
      </c>
    </row>
    <row r="22">
      <c r="A22" s="8" t="inlineStr">
        <is>
          <t>Custom/decorative fixtures</t>
        </is>
      </c>
      <c r="B22" s="8" t="inlineStr">
        <is>
          <t>Growing 'quiet luxury' + hospitality refresh cycles</t>
        </is>
      </c>
      <c r="C22" s="8" t="inlineStr">
        <is>
          <t>5–15 statement pieces/yr at $5k–$15k+ each via designers</t>
        </is>
      </c>
    </row>
    <row r="23">
      <c r="A23" s="6" t="inlineStr">
        <is>
          <t>Architectural LED (Vela)</t>
        </is>
      </c>
      <c r="B23" s="6" t="inlineStr">
        <is>
          <t>Spec-driven; wins compound via designer relationships</t>
        </is>
      </c>
      <c r="C23" s="6" t="inlineStr">
        <is>
          <t>Attach to every project yr 1; third-party spec sales yr 2+</t>
        </is>
      </c>
    </row>
    <row r="24">
      <c r="A24" s="2" t="inlineStr">
        <is>
          <t>SOM sanity check: Year-1 plan requires ~2 retrofit projects + ~3 restorations + ~1 custom piece per month by month 12 in ONE metro. That is a rounding error of local demand.</t>
        </is>
      </c>
    </row>
    <row r="26">
      <c r="A26" s="3" t="inlineStr">
        <is>
          <t>1.4 CUSTOMER SEGMENTS (ICPs)</t>
        </is>
      </c>
      <c r="B26" s="4" t="n"/>
      <c r="C26" s="4" t="n"/>
      <c r="D26" s="4" t="n"/>
      <c r="E26" s="4" t="n"/>
    </row>
    <row r="27">
      <c r="A27" s="7" t="inlineStr">
        <is>
          <t>ICP</t>
        </is>
      </c>
      <c r="B27" s="7" t="inlineStr">
        <is>
          <t>Profile</t>
        </is>
      </c>
      <c r="C27" s="7" t="inlineStr">
        <is>
          <t>Trigger moment</t>
        </is>
      </c>
      <c r="D27" s="7" t="inlineStr">
        <is>
          <t>What they buy first</t>
        </is>
      </c>
      <c r="E27" s="7" t="inlineStr">
        <is>
          <t>Avg first ticket</t>
        </is>
      </c>
    </row>
    <row r="28">
      <c r="A28" s="6" t="inlineStr">
        <is>
          <t>Heritage Homeowner</t>
        </is>
      </c>
      <c r="B28" s="6" t="inlineStr">
        <is>
          <t>Owns pre-1960 home or inherited fixtures; 45–75; values provenance</t>
        </is>
      </c>
      <c r="C28" s="6" t="inlineStr">
        <is>
          <t>Estate inheritance, renovation, a dead chandelier</t>
        </is>
      </c>
      <c r="D28" s="6" t="inlineStr">
        <is>
          <t>Restoration commission / relamp set</t>
        </is>
      </c>
      <c r="E28" s="6" t="inlineStr">
        <is>
          <t>$1,500–$6,000</t>
        </is>
      </c>
    </row>
    <row r="29">
      <c r="A29" s="8" t="inlineStr">
        <is>
          <t>Design-Led Renovator</t>
        </is>
      </c>
      <c r="B29" s="8" t="inlineStr">
        <is>
          <t>35–60, $150k+ HHI, working with (or wanting) a designer</t>
        </is>
      </c>
      <c r="C29" s="8" t="inlineStr">
        <is>
          <t>Kitchen/whole-home reno; saw a photo they loved</t>
        </is>
      </c>
      <c r="D29" s="8" t="inlineStr">
        <is>
          <t>AI plan → custom pendant/chandelier package</t>
        </is>
      </c>
      <c r="E29" s="8" t="inlineStr">
        <is>
          <t>$3,000–$12,000</t>
        </is>
      </c>
    </row>
    <row r="30">
      <c r="A30" s="6" t="inlineStr">
        <is>
          <t>SMB Owner-Operator</t>
        </is>
      </c>
      <c r="B30" s="6" t="inlineStr">
        <is>
          <t>Owns/controls building 10k–60k sq ft; pays own utility bill</t>
        </is>
      </c>
      <c r="C30" s="6" t="inlineStr">
        <is>
          <t>Utility bill spike; ballast failures; rebate deadline</t>
        </is>
      </c>
      <c r="D30" s="6" t="inlineStr">
        <is>
          <t>Free audit → turnkey retrofit</t>
        </is>
      </c>
      <c r="E30" s="6" t="inlineStr">
        <is>
          <t>$15,000–$60,000</t>
        </is>
      </c>
    </row>
    <row r="31">
      <c r="A31" s="8" t="inlineStr">
        <is>
          <t>Hospitality Operator</t>
        </is>
      </c>
      <c r="B31" s="8" t="inlineStr">
        <is>
          <t>Restaurant/boutique hotel, 1–5 locations</t>
        </is>
      </c>
      <c r="C31" s="8" t="inlineStr">
        <is>
          <t>Opening, refresh, or 'the room feels wrong'</t>
        </is>
      </c>
      <c r="D31" s="8" t="inlineStr">
        <is>
          <t>Design consult → feature fixtures + scenes</t>
        </is>
      </c>
      <c r="E31" s="8" t="inlineStr">
        <is>
          <t>$10,000–$40,000</t>
        </is>
      </c>
    </row>
    <row r="32">
      <c r="A32" s="6" t="inlineStr">
        <is>
          <t>Trade Partner (designer/architect/GC)</t>
        </is>
      </c>
      <c r="B32" s="6" t="inlineStr">
        <is>
          <t>Specs lighting but can't fabricate/install/service</t>
        </is>
      </c>
      <c r="C32" s="6" t="inlineStr">
        <is>
          <t>A project they can't staff</t>
        </is>
      </c>
      <c r="D32" s="6" t="inlineStr">
        <is>
          <t>Network membership → spec support + product</t>
        </is>
      </c>
      <c r="E32" s="6" t="inlineStr">
        <is>
          <t>$2,000–$20,000/project</t>
        </is>
      </c>
    </row>
    <row r="34">
      <c r="A34" s="3" t="inlineStr">
        <is>
          <t>1.5 COMPETITION &amp; POSITIONING</t>
        </is>
      </c>
      <c r="B34" s="4" t="n"/>
      <c r="C34" s="4" t="n"/>
      <c r="D34" s="4" t="n"/>
      <c r="E34" s="4" t="n"/>
    </row>
    <row r="35">
      <c r="A35" s="7" t="inlineStr">
        <is>
          <t>Competitor type</t>
        </is>
      </c>
      <c r="B35" s="7" t="inlineStr">
        <is>
          <t>Their strength</t>
        </is>
      </c>
      <c r="C35" s="7" t="inlineStr">
        <is>
          <t>Their gap</t>
        </is>
      </c>
      <c r="D35" s="7" t="inlineStr">
        <is>
          <t>Our counter</t>
        </is>
      </c>
    </row>
    <row r="36">
      <c r="A36" s="6" t="inlineStr">
        <is>
          <t>National ESCOs (retrofit)</t>
        </is>
      </c>
      <c r="B36" s="6" t="inlineStr">
        <is>
          <t>Scale, financing</t>
        </is>
      </c>
      <c r="C36" s="6" t="inlineStr">
        <is>
          <t>Ignore sub-$250k projects; no design sensibility</t>
        </is>
      </c>
      <c r="D36" s="6" t="inlineStr">
        <is>
          <t>Turnkey for SMB; design-grade light quality; 5-yr service</t>
        </is>
      </c>
    </row>
    <row r="37">
      <c r="A37" s="8" t="inlineStr">
        <is>
          <t>Electrical contractors</t>
        </is>
      </c>
      <c r="B37" s="8" t="inlineStr">
        <is>
          <t>Licensed, local, trusted</t>
        </is>
      </c>
      <c r="C37" s="8" t="inlineStr">
        <is>
          <t>Sell hardware not outcomes; no audits/rebates/design</t>
        </is>
      </c>
      <c r="D37" s="8" t="inlineStr">
        <is>
          <t>We hand them work (network) instead of fighting them</t>
        </is>
      </c>
    </row>
    <row r="38">
      <c r="A38" s="6" t="inlineStr">
        <is>
          <t>Lighting showrooms</t>
        </is>
      </c>
      <c r="B38" s="6" t="inlineStr">
        <is>
          <t>Product selection</t>
        </is>
      </c>
      <c r="C38" s="6" t="inlineStr">
        <is>
          <t>No install, no custom, no service; margin-squeezed by e-comm</t>
        </is>
      </c>
      <c r="D38" s="6" t="inlineStr">
        <is>
          <t>Made-to-order + install + service; showrooms can become partners</t>
        </is>
      </c>
    </row>
    <row r="39">
      <c r="A39" s="8" t="inlineStr">
        <is>
          <t>Etsy/antique restorers</t>
        </is>
      </c>
      <c r="B39" s="8" t="inlineStr">
        <is>
          <t>Craft credibility</t>
        </is>
      </c>
      <c r="C39" s="8" t="inlineStr">
        <is>
          <t>No electrical compliance, no scale, no warranty</t>
        </is>
      </c>
      <c r="D39" s="8" t="inlineStr">
        <is>
          <t>Code-compliant restoration + dossier + 5-yr warranty</t>
        </is>
      </c>
    </row>
    <row r="40">
      <c r="A40" s="6" t="inlineStr">
        <is>
          <t>Online fixture retailers</t>
        </is>
      </c>
      <c r="B40" s="6" t="inlineStr">
        <is>
          <t>Price, breadth</t>
        </is>
      </c>
      <c r="C40" s="6" t="inlineStr">
        <is>
          <t>Zero service; commodity product</t>
        </is>
      </c>
      <c r="D40" s="6" t="inlineStr">
        <is>
          <t>We don't compete on price; we sell finished outcomes</t>
        </is>
      </c>
    </row>
    <row r="41">
      <c r="A41" s="5" t="inlineStr">
        <is>
          <t>Positioning statement</t>
        </is>
      </c>
      <c r="B41" s="6" t="inlineStr">
        <is>
          <t>For people and businesses who care what light does to a space, Lumenwright is the only studio that designs, builds, restores, converts, and then services light for five years — one accountable partner from photo to finished room.</t>
        </is>
      </c>
    </row>
    <row r="43">
      <c r="A43" s="3" t="inlineStr">
        <is>
          <t>1.6 OPERATIONS PLAN</t>
        </is>
      </c>
      <c r="B43" s="4" t="n"/>
      <c r="C43" s="4" t="n"/>
      <c r="D43" s="4" t="n"/>
      <c r="E43" s="4" t="n"/>
    </row>
    <row r="44">
      <c r="A44" s="7" t="inlineStr">
        <is>
          <t>Area</t>
        </is>
      </c>
      <c r="B44" s="7" t="inlineStr">
        <is>
          <t>Plan</t>
        </is>
      </c>
      <c r="C44" s="7" t="inlineStr">
        <is>
          <t>Cost reference (Funding tab)</t>
        </is>
      </c>
    </row>
    <row r="45">
      <c r="A45" s="6" t="inlineStr">
        <is>
          <t>Facility</t>
        </is>
      </c>
      <c r="B45" s="6" t="inlineStr">
        <is>
          <t>Phase 0–1: home workshop/garage + storage unit for crating. Phase 2: 1,200–2,000 sq ft light-industrial bay (~$1,500–2,500/mo) with bench, spray/patina area, photo corner</t>
        </is>
      </c>
      <c r="C45" s="6" t="inlineStr">
        <is>
          <t>Facility line</t>
        </is>
      </c>
    </row>
    <row r="46">
      <c r="A46" s="8" t="inlineStr">
        <is>
          <t>Licensing (CRITICAL PATH)</t>
        </is>
      </c>
      <c r="B46" s="8" t="inlineStr">
        <is>
          <t>Do not advertise installation until solved. Options: (a) subcontract to licensed EC under written agreement — fastest, do this first; (b) hire licensed journeyman month 7–9; (c) owner pursues license long-term. Restoration bench work + retrofit kit supply are legal without EC license in most states — verify with state board in week 1.</t>
        </is>
      </c>
      <c r="C46" s="8" t="inlineStr">
        <is>
          <t>Legal/licensing line</t>
        </is>
      </c>
    </row>
    <row r="47">
      <c r="A47" s="6" t="inlineStr">
        <is>
          <t>Insurance</t>
        </is>
      </c>
      <c r="B47" s="6" t="inlineStr">
        <is>
          <t>GL $1M/$2M + products/completed ops; inland marine for client fixtures in shop (restoration!); commercial auto; workers comp at first hire; E&amp;O once designing for trade</t>
        </is>
      </c>
      <c r="C47" s="6" t="inlineStr">
        <is>
          <t>Insurance line</t>
        </is>
      </c>
    </row>
    <row r="48">
      <c r="A48" s="8" t="inlineStr">
        <is>
          <t>Equipment</t>
        </is>
      </c>
      <c r="B48" s="8" t="inlineStr">
        <is>
          <t>Restoration bench (rewiring, plating prep, crystal pinning), test rig (dimmer wall!), crating station, van (used, wrapped)</t>
        </is>
      </c>
      <c r="C48" s="8" t="inlineStr">
        <is>
          <t>Equipment lines</t>
        </is>
      </c>
    </row>
    <row r="49">
      <c r="A49" s="6" t="inlineStr">
        <is>
          <t>Compliance</t>
        </is>
      </c>
      <c r="B49" s="6" t="inlineStr">
        <is>
          <t>Old lamp/ballast disposal = EPA Universal Waste rules — contract a certified recycler (e.g., national mail-back programs) and keep manifests; it's a selling point, not just a cost</t>
        </is>
      </c>
      <c r="C49" s="6" t="inlineStr">
        <is>
          <t>Ops line</t>
        </is>
      </c>
    </row>
    <row r="50">
      <c r="A50" s="8" t="inlineStr">
        <is>
          <t>Software stack</t>
        </is>
      </c>
      <c r="B50" s="8" t="inlineStr">
        <is>
          <t>Site+DB built ($0); add: QuickBooks, Jobber/ServiceTitan-lite for field, Stripe/Shopify when payments go live</t>
        </is>
      </c>
      <c r="C50" s="8" t="inlineStr">
        <is>
          <t>Software line</t>
        </is>
      </c>
    </row>
    <row r="52">
      <c r="A52" s="3" t="inlineStr">
        <is>
          <t>1.7 TEAM &amp; HIRING PLAN</t>
        </is>
      </c>
      <c r="B52" s="4" t="n"/>
      <c r="C52" s="4" t="n"/>
      <c r="D52" s="4" t="n"/>
      <c r="E52" s="4" t="n"/>
    </row>
    <row r="53">
      <c r="A53" s="7" t="inlineStr">
        <is>
          <t>When</t>
        </is>
      </c>
      <c r="B53" s="7" t="inlineStr">
        <is>
          <t>Role</t>
        </is>
      </c>
      <c r="C53" s="7" t="inlineStr">
        <is>
          <t>Type</t>
        </is>
      </c>
      <c r="D53" s="7" t="inlineStr">
        <is>
          <t>Comp target</t>
        </is>
      </c>
      <c r="E53" s="7" t="inlineStr">
        <is>
          <t>Trigger</t>
        </is>
      </c>
    </row>
    <row r="54">
      <c r="A54" s="6" t="inlineStr">
        <is>
          <t>Now</t>
        </is>
      </c>
      <c r="B54" s="6" t="inlineStr">
        <is>
          <t>Founder — design, sales, bench, everything</t>
        </is>
      </c>
      <c r="C54" s="6" t="inlineStr">
        <is>
          <t>Owner</t>
        </is>
      </c>
      <c r="D54" s="6" t="inlineStr">
        <is>
          <t>$3–4k/mo draw until M6, then $6k</t>
        </is>
      </c>
      <c r="E54" s="6" t="inlineStr">
        <is>
          <t>—</t>
        </is>
      </c>
    </row>
    <row r="55">
      <c r="A55" s="8" t="inlineStr">
        <is>
          <t>M3–M6</t>
        </is>
      </c>
      <c r="B55" s="8" t="inlineStr">
        <is>
          <t>Licensed electrical sub (per-project)</t>
        </is>
      </c>
      <c r="C55" s="8" t="inlineStr">
        <is>
          <t>1099/sub</t>
        </is>
      </c>
      <c r="D55" s="8" t="inlineStr">
        <is>
          <t>15–22% of install labor line</t>
        </is>
      </c>
      <c r="E55" s="8" t="inlineStr">
        <is>
          <t>First install sold</t>
        </is>
      </c>
    </row>
    <row r="56">
      <c r="A56" s="6" t="inlineStr">
        <is>
          <t>M7–M9</t>
        </is>
      </c>
      <c r="B56" s="6" t="inlineStr">
        <is>
          <t>Restoration/bench tech (craft hands)</t>
        </is>
      </c>
      <c r="C56" s="6" t="inlineStr">
        <is>
          <t>PT→FT</t>
        </is>
      </c>
      <c r="D56" s="6" t="inlineStr">
        <is>
          <t>$22–28/hr</t>
        </is>
      </c>
      <c r="E56" s="6" t="inlineStr">
        <is>
          <t>Bench backlog &gt; 3 weeks</t>
        </is>
      </c>
    </row>
    <row r="57">
      <c r="A57" s="8" t="inlineStr">
        <is>
          <t>M9–M12</t>
        </is>
      </c>
      <c r="B57" s="8" t="inlineStr">
        <is>
          <t>Licensed journeyman electrician</t>
        </is>
      </c>
      <c r="C57" s="8" t="inlineStr">
        <is>
          <t>FT</t>
        </is>
      </c>
      <c r="D57" s="8" t="inlineStr">
        <is>
          <t>$70–90k + van</t>
        </is>
      </c>
      <c r="E57" s="8" t="inlineStr">
        <is>
          <t>≥2 retrofits/mo for 3 straight months</t>
        </is>
      </c>
    </row>
    <row r="58">
      <c r="A58" s="6" t="inlineStr">
        <is>
          <t>M12–M18</t>
        </is>
      </c>
      <c r="B58" s="6" t="inlineStr">
        <is>
          <t>Ops/project coordinator</t>
        </is>
      </c>
      <c r="C58" s="6" t="inlineStr">
        <is>
          <t>FT</t>
        </is>
      </c>
      <c r="D58" s="6" t="inlineStr">
        <is>
          <t>$50–60k</t>
        </is>
      </c>
      <c r="E58" s="6" t="inlineStr">
        <is>
          <t>Founder &gt;30% time on scheduling</t>
        </is>
      </c>
    </row>
    <row r="59">
      <c r="A59" s="8" t="inlineStr">
        <is>
          <t>M18+</t>
        </is>
      </c>
      <c r="B59" s="8" t="inlineStr">
        <is>
          <t>Second crew / designer-in-residence</t>
        </is>
      </c>
      <c r="C59" s="8" t="inlineStr">
        <is>
          <t>FT</t>
        </is>
      </c>
      <c r="D59" s="8" t="inlineStr">
        <is>
          <t>Market</t>
        </is>
      </c>
      <c r="E59" s="8" t="inlineStr">
        <is>
          <t>Phase 3 gates met</t>
        </is>
      </c>
    </row>
    <row r="61">
      <c r="A61" s="3" t="inlineStr">
        <is>
          <t>1.8 RISK REGISTER</t>
        </is>
      </c>
      <c r="B61" s="4" t="n"/>
      <c r="C61" s="4" t="n"/>
      <c r="D61" s="4" t="n"/>
      <c r="E61" s="4" t="n"/>
    </row>
    <row r="62">
      <c r="A62" s="7" t="inlineStr">
        <is>
          <t>Risk</t>
        </is>
      </c>
      <c r="B62" s="7" t="inlineStr">
        <is>
          <t>Likelihood</t>
        </is>
      </c>
      <c r="C62" s="7" t="inlineStr">
        <is>
          <t>Impact</t>
        </is>
      </c>
      <c r="D62" s="7" t="inlineStr">
        <is>
          <t>Mitigation</t>
        </is>
      </c>
    </row>
    <row r="63">
      <c r="A63" s="6" t="inlineStr">
        <is>
          <t>Licensing/regulatory misstep</t>
        </is>
      </c>
      <c r="B63" s="6" t="inlineStr">
        <is>
          <t>Med</t>
        </is>
      </c>
      <c r="C63" s="6" t="inlineStr">
        <is>
          <t>High</t>
        </is>
      </c>
      <c r="D63" s="6" t="inlineStr">
        <is>
          <t>Sub-first model; state board verification in writing; never advertise beyond scope</t>
        </is>
      </c>
    </row>
    <row r="64">
      <c r="A64" s="8" t="inlineStr">
        <is>
          <t>Founder capacity (everything on one person)</t>
        </is>
      </c>
      <c r="B64" s="8" t="inlineStr">
        <is>
          <t>High</t>
        </is>
      </c>
      <c r="C64" s="8" t="inlineStr">
        <is>
          <t>High</t>
        </is>
      </c>
      <c r="D64" s="8" t="inlineStr">
        <is>
          <t>Ruthless phase gates; sub/PT help early; the workback has slack built in</t>
        </is>
      </c>
    </row>
    <row r="65">
      <c r="A65" s="6" t="inlineStr">
        <is>
          <t>Retrofit price competition</t>
        </is>
      </c>
      <c r="B65" s="6" t="inlineStr">
        <is>
          <t>Med</t>
        </is>
      </c>
      <c r="C65" s="6" t="inlineStr">
        <is>
          <t>Med</t>
        </is>
      </c>
      <c r="D65" s="6" t="inlineStr">
        <is>
          <t>Compete on turnkey outcome + service, never on $/fixture; walk from bid wars</t>
        </is>
      </c>
    </row>
    <row r="66">
      <c r="A66" s="8" t="inlineStr">
        <is>
          <t>Vela ODM quality failure</t>
        </is>
      </c>
      <c r="B66" s="8" t="inlineStr">
        <is>
          <t>Med</t>
        </is>
      </c>
      <c r="C66" s="8" t="inlineStr">
        <is>
          <t>High</t>
        </is>
      </c>
      <c r="D66" s="8" t="inlineStr">
        <is>
          <t>Third-party inspection every PO; LM-79/80 reports; dual-source by yr 2; never spec into a project without stock on hand</t>
        </is>
      </c>
    </row>
    <row r="67">
      <c r="A67" s="6" t="inlineStr">
        <is>
          <t>A damaged heirloom in our care</t>
        </is>
      </c>
      <c r="B67" s="6" t="inlineStr">
        <is>
          <t>Low</t>
        </is>
      </c>
      <c r="C67" s="6" t="inlineStr">
        <is>
          <t>Severe</t>
        </is>
      </c>
      <c r="D67" s="6" t="inlineStr">
        <is>
          <t>Inland marine insurance; intake condition documentation (photo+video); conservative promise-making</t>
        </is>
      </c>
    </row>
    <row r="68">
      <c r="A68" s="8" t="inlineStr">
        <is>
          <t>Utility rebate program changes</t>
        </is>
      </c>
      <c r="B68" s="8" t="inlineStr">
        <is>
          <t>Med</t>
        </is>
      </c>
      <c r="C68" s="8" t="inlineStr">
        <is>
          <t>Med</t>
        </is>
      </c>
      <c r="D68" s="8" t="inlineStr">
        <is>
          <t>Rebates framed as bonus not basis; track programs quarterly; diversify streams</t>
        </is>
      </c>
    </row>
    <row r="69">
      <c r="A69" s="6" t="inlineStr">
        <is>
          <t>Cash crunch from growth</t>
        </is>
      </c>
      <c r="B69" s="6" t="inlineStr">
        <is>
          <t>Med</t>
        </is>
      </c>
      <c r="C69" s="6" t="inlineStr">
        <is>
          <t>High</t>
        </is>
      </c>
      <c r="D69" s="6" t="inlineStr">
        <is>
          <t>50% deposits; CAPLine/LOC in place BEFORE needed (Funding tab); weekly 13-week cash forecast</t>
        </is>
      </c>
    </row>
    <row r="70">
      <c r="A70" s="8" t="inlineStr">
        <is>
          <t>Designer network conflict (channel vs direct)</t>
        </is>
      </c>
      <c r="B70" s="8" t="inlineStr">
        <is>
          <t>Low</t>
        </is>
      </c>
      <c r="C70" s="8" t="inlineStr">
        <is>
          <t>Med</t>
        </is>
      </c>
      <c r="D70" s="8" t="inlineStr">
        <is>
          <t>Clear rules of engagement in founding-member agreement; designers always own the client they bring</t>
        </is>
      </c>
    </row>
    <row r="72">
      <c r="A72" s="3" t="inlineStr">
        <is>
          <t>1.9 KPIs — REVIEWED WEEKLY</t>
        </is>
      </c>
      <c r="B72" s="4" t="n"/>
      <c r="C72" s="4" t="n"/>
      <c r="D72" s="4" t="n"/>
      <c r="E72" s="4" t="n"/>
    </row>
    <row r="73">
      <c r="A73" s="7" t="inlineStr">
        <is>
          <t>Funnel</t>
        </is>
      </c>
      <c r="B73" s="7" t="inlineStr">
        <is>
          <t>Economics</t>
        </is>
      </c>
      <c r="C73" s="7" t="inlineStr">
        <is>
          <t>Delivery</t>
        </is>
      </c>
      <c r="D73" s="7" t="inlineStr">
        <is>
          <t>Brand</t>
        </is>
      </c>
    </row>
    <row r="74">
      <c r="A74" s="6" t="inlineStr">
        <is>
          <t>Site visits · AI plans run · consults booked · close rate</t>
        </is>
      </c>
      <c r="B74" s="6" t="inlineStr">
        <is>
          <t>GM% by stream · CAC by channel · payback (days) · cash weeks on hand</t>
        </is>
      </c>
      <c r="C74" s="6" t="inlineStr">
        <is>
          <t>On-time delivery % · punch-list items/project · service response hrs</t>
        </is>
      </c>
      <c r="D74" s="6" t="inlineStr">
        <is>
          <t>Reviews (count/rating) · case studies published · designer NPS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0" customWidth="1" min="3" max="3"/>
    <col width="14" customWidth="1" min="4" max="4"/>
  </cols>
  <sheetData>
    <row r="1" ht="26" customHeight="1">
      <c r="A1" s="1" t="inlineStr">
        <is>
          <t>2 · GO-TO-MARKET + WORKBACK SCHEDULE</t>
        </is>
      </c>
    </row>
    <row r="3">
      <c r="A3" s="3" t="inlineStr">
        <is>
          <t>2.1 GTM STRATEGY IN ONE PARAGRAPH</t>
        </is>
      </c>
      <c r="B3" s="4" t="n"/>
      <c r="C3" s="4" t="n"/>
      <c r="D3" s="4" t="n"/>
    </row>
    <row r="4">
      <c r="A4" s="2" t="inlineStr">
        <is>
          <t>Launch Oct 1, 2026 in ONE metro with two spearheads: (1) the Founding Client Program — 10 lighthouse projects sold at cost-plus in exchange for full case-study rights, reviews, and referrals; (2) the free commercial lighting audit, pitched直direct to 100 hand-picked SMB buildings. The AI Studio is the top of funnel for everything; every plan ends in a human consult. Designers are recruited in parallel (tab 6) so that by Phase 2 the network is a second sales force. We do not do broad paid media until case studies exist.</t>
        </is>
      </c>
    </row>
    <row r="6">
      <c r="A6" s="3" t="inlineStr">
        <is>
          <t>2.2 OFFER LADDER (how strangers become $40k clients)</t>
        </is>
      </c>
      <c r="B6" s="4" t="n"/>
      <c r="C6" s="4" t="n"/>
      <c r="D6" s="4" t="n"/>
    </row>
    <row r="7">
      <c r="A7" s="7" t="inlineStr">
        <is>
          <t>Step</t>
        </is>
      </c>
      <c r="B7" s="7" t="inlineStr">
        <is>
          <t>Offer</t>
        </is>
      </c>
      <c r="C7" s="7" t="inlineStr">
        <is>
          <t>Price</t>
        </is>
      </c>
      <c r="D7" s="7" t="inlineStr">
        <is>
          <t>Purpose</t>
        </is>
      </c>
    </row>
    <row r="8">
      <c r="A8" s="6" t="n">
        <v>1</v>
      </c>
      <c r="B8" s="6" t="inlineStr">
        <is>
          <t>AI Lighting Plan (photo → plan)</t>
        </is>
      </c>
      <c r="C8" s="6" t="inlineStr">
        <is>
          <t>Free</t>
        </is>
      </c>
      <c r="D8" s="6" t="inlineStr">
        <is>
          <t>Capture + qualify; deliver instant value</t>
        </is>
      </c>
    </row>
    <row r="9">
      <c r="A9" s="8" t="n">
        <v>2</v>
      </c>
      <c r="B9" s="8" t="inlineStr">
        <is>
          <t>Designer review call (20 min)</t>
        </is>
      </c>
      <c r="C9" s="8" t="inlineStr">
        <is>
          <t>Free</t>
        </is>
      </c>
      <c r="D9" s="8" t="inlineStr">
        <is>
          <t>Human trust; scope the real project</t>
        </is>
      </c>
    </row>
    <row r="10">
      <c r="A10" s="6" t="n">
        <v>3</v>
      </c>
      <c r="B10" s="6" t="inlineStr">
        <is>
          <t>Paid design consult / commercial audit</t>
        </is>
      </c>
      <c r="C10" s="6" t="inlineStr">
        <is>
          <t>$150–$500 (credited to project)</t>
        </is>
      </c>
      <c r="D10" s="6" t="inlineStr">
        <is>
          <t>Commitment filter; audit produces the savings analysis</t>
        </is>
      </c>
    </row>
    <row r="11">
      <c r="A11" s="8" t="n">
        <v>4</v>
      </c>
      <c r="B11" s="8" t="inlineStr">
        <is>
          <t>Project (restore / custom / retrofit)</t>
        </is>
      </c>
      <c r="C11" s="8" t="inlineStr">
        <is>
          <t>$1.5k–$60k</t>
        </is>
      </c>
      <c r="D11" s="8" t="inlineStr">
        <is>
          <t>Core revenue</t>
        </is>
      </c>
    </row>
    <row r="12">
      <c r="A12" s="6" t="n">
        <v>5</v>
      </c>
      <c r="B12" s="6" t="inlineStr">
        <is>
          <t>5-yr service plan (turnkey: included)</t>
        </is>
      </c>
      <c r="C12" s="6" t="inlineStr">
        <is>
          <t>Included / $29–99/mo standalone</t>
        </is>
      </c>
      <c r="D12" s="6" t="inlineStr">
        <is>
          <t>Retention moat + recurring base</t>
        </is>
      </c>
    </row>
    <row r="14">
      <c r="A14" s="3" t="inlineStr">
        <is>
          <t>2.3 CHANNEL PRIORITY (first 6 months)</t>
        </is>
      </c>
      <c r="B14" s="4" t="n"/>
      <c r="C14" s="4" t="n"/>
      <c r="D14" s="4" t="n"/>
    </row>
    <row r="15">
      <c r="A15" s="7" t="inlineStr">
        <is>
          <t>Rank</t>
        </is>
      </c>
      <c r="B15" s="7" t="inlineStr">
        <is>
          <t>Channel</t>
        </is>
      </c>
      <c r="C15" s="7" t="inlineStr">
        <is>
          <t>Target</t>
        </is>
      </c>
      <c r="D15" s="7" t="inlineStr">
        <is>
          <t>Why now</t>
        </is>
      </c>
    </row>
    <row r="16">
      <c r="A16" s="6" t="n">
        <v>1</v>
      </c>
      <c r="B16" s="6" t="inlineStr">
        <is>
          <t>Founding Client Program (direct outreach + personal network)</t>
        </is>
      </c>
      <c r="C16" s="6" t="inlineStr">
        <is>
          <t>10 projects by Mar</t>
        </is>
      </c>
      <c r="D16" s="6" t="inlineStr">
        <is>
          <t>Case studies before ad spend</t>
        </is>
      </c>
    </row>
    <row r="17">
      <c r="A17" s="8" t="n">
        <v>2</v>
      </c>
      <c r="B17" s="8" t="inlineStr">
        <is>
          <t>Direct commercial outreach (100-building list)</t>
        </is>
      </c>
      <c r="C17" s="8" t="inlineStr">
        <is>
          <t>20 audits, 6 conversions</t>
        </is>
      </c>
      <c r="D17" s="8" t="inlineStr">
        <is>
          <t>Highest ticket, controllable</t>
        </is>
      </c>
    </row>
    <row r="18">
      <c r="A18" s="6" t="n">
        <v>3</v>
      </c>
      <c r="B18" s="6" t="inlineStr">
        <is>
          <t>Google Business Profile + local SEO</t>
        </is>
      </c>
      <c r="C18" s="6" t="inlineStr">
        <is>
          <t>Top-3 map pack for 'chandelier repair &lt;metro&gt;'</t>
        </is>
      </c>
      <c r="D18" s="6" t="inlineStr">
        <is>
          <t>Restoration demand already searches; low competition</t>
        </is>
      </c>
    </row>
    <row r="19">
      <c r="A19" s="8" t="n">
        <v>4</v>
      </c>
      <c r="B19" s="8" t="inlineStr">
        <is>
          <t>Designer/trade recruitment</t>
        </is>
      </c>
      <c r="C19" s="8" t="inlineStr">
        <is>
          <t>8 founding members</t>
        </is>
      </c>
      <c r="D19" s="8" t="inlineStr">
        <is>
          <t>Compounding channel</t>
        </is>
      </c>
    </row>
    <row r="20">
      <c r="A20" s="6" t="n">
        <v>5</v>
      </c>
      <c r="B20" s="6" t="inlineStr">
        <is>
          <t>Organic social (restoration content)</t>
        </is>
      </c>
      <c r="C20" s="6" t="inlineStr">
        <is>
          <t>Content bank of 30 posts</t>
        </is>
      </c>
      <c r="D20" s="6" t="inlineStr">
        <is>
          <t>Feeds everything later; near-zero cost now</t>
        </is>
      </c>
    </row>
    <row r="21">
      <c r="A21" s="8" t="inlineStr">
        <is>
          <t>Hold</t>
        </is>
      </c>
      <c r="B21" s="8" t="inlineStr">
        <is>
          <t>Paid search/social</t>
        </is>
      </c>
      <c r="C21" s="8" t="inlineStr">
        <is>
          <t>Start M4+ only after 5 case studies</t>
        </is>
      </c>
      <c r="D21" s="8" t="inlineStr">
        <is>
          <t>Ads amplify proof; they don't create it</t>
        </is>
      </c>
    </row>
    <row r="23">
      <c r="A23" s="3" t="inlineStr">
        <is>
          <t>2.4 WORKBACK SCHEDULE — TO OCT 1, 2026 LAUNCH (today = Jul 7)</t>
        </is>
      </c>
      <c r="B23" s="4" t="n"/>
      <c r="C23" s="4" t="n"/>
      <c r="D23" s="4" t="n"/>
    </row>
    <row r="24">
      <c r="A24" s="7" t="inlineStr">
        <is>
          <t>Week of</t>
        </is>
      </c>
      <c r="B24" s="7" t="inlineStr">
        <is>
          <t>Workstream</t>
        </is>
      </c>
      <c r="C24" s="7" t="inlineStr">
        <is>
          <t>Deliverable (done = shippable)</t>
        </is>
      </c>
      <c r="D24" s="7" t="inlineStr">
        <is>
          <t>Owner</t>
        </is>
      </c>
    </row>
    <row r="25">
      <c r="A25" s="6" t="inlineStr">
        <is>
          <t>Jul 7</t>
        </is>
      </c>
      <c r="B25" s="6" t="inlineStr">
        <is>
          <t>Legal/Compliance</t>
        </is>
      </c>
      <c r="C25" s="6" t="inlineStr">
        <is>
          <t>LLC filed; EIN; state electrical-board scope ruling requested IN WRITING; insurance quotes ordered</t>
        </is>
      </c>
      <c r="D25" s="6" t="inlineStr">
        <is>
          <t>Founder</t>
        </is>
      </c>
    </row>
    <row r="26">
      <c r="A26" s="8" t="inlineStr">
        <is>
          <t>Jul 7</t>
        </is>
      </c>
      <c r="B26" s="8" t="inlineStr">
        <is>
          <t>Funding</t>
        </is>
      </c>
      <c r="C26" s="8" t="inlineStr">
        <is>
          <t>SBA package started: this workbook + personal financial stmt; 3 lender/CDFI intros requested (Lender Match)</t>
        </is>
      </c>
      <c r="D26" s="8" t="inlineStr">
        <is>
          <t>Founder</t>
        </is>
      </c>
    </row>
    <row r="27">
      <c r="A27" s="6" t="inlineStr">
        <is>
          <t>Jul 14</t>
        </is>
      </c>
      <c r="B27" s="6" t="inlineStr">
        <is>
          <t>Ops</t>
        </is>
      </c>
      <c r="C27" s="6" t="inlineStr">
        <is>
          <t>GL + inland marine bound; lamp-recycler contract signed; bench equipment ordered</t>
        </is>
      </c>
      <c r="D27" s="6" t="inlineStr">
        <is>
          <t>Founder</t>
        </is>
      </c>
    </row>
    <row r="28">
      <c r="A28" s="8" t="inlineStr">
        <is>
          <t>Jul 14</t>
        </is>
      </c>
      <c r="B28" s="8" t="inlineStr">
        <is>
          <t>Product</t>
        </is>
      </c>
      <c r="C28" s="8" t="inlineStr">
        <is>
          <t>Vela ODM shortlist (5 candidates) contacted; sample POs for Linea + Punto; retrofit kit distributor accounts opened (2 min.)</t>
        </is>
      </c>
      <c r="D28" s="8" t="inlineStr">
        <is>
          <t>Founder</t>
        </is>
      </c>
    </row>
    <row r="29">
      <c r="A29" s="6" t="inlineStr">
        <is>
          <t>Jul 21</t>
        </is>
      </c>
      <c r="B29" s="6" t="inlineStr">
        <is>
          <t>Brand/Site</t>
        </is>
      </c>
      <c r="C29" s="6" t="inlineStr">
        <is>
          <t>Real business name/entity decision locked; site lib/site.ts updated (name, inboxes, credentials); domain purchased + connected on Vercel</t>
        </is>
      </c>
      <c r="D29" s="6" t="inlineStr">
        <is>
          <t>Founder</t>
        </is>
      </c>
    </row>
    <row r="30">
      <c r="A30" s="8" t="inlineStr">
        <is>
          <t>Jul 21</t>
        </is>
      </c>
      <c r="B30" s="8" t="inlineStr">
        <is>
          <t>Sales assets</t>
        </is>
      </c>
      <c r="C30" s="8" t="inlineStr">
        <is>
          <t>Commercial audit one-pager; restoration intake form; founding-client agreement drafted</t>
        </is>
      </c>
      <c r="D30" s="8" t="inlineStr">
        <is>
          <t>Founder</t>
        </is>
      </c>
    </row>
    <row r="31">
      <c r="A31" s="6" t="inlineStr">
        <is>
          <t>Jul 28</t>
        </is>
      </c>
      <c r="B31" s="6" t="inlineStr">
        <is>
          <t>Licensing</t>
        </is>
      </c>
      <c r="C31" s="6" t="inlineStr">
        <is>
          <t>Electrical sub agreement signed with 1–2 licensed ECs (rate card + insurance certs on file)</t>
        </is>
      </c>
      <c r="D31" s="6" t="inlineStr">
        <is>
          <t>Founder</t>
        </is>
      </c>
    </row>
    <row r="32">
      <c r="A32" s="8" t="inlineStr">
        <is>
          <t>Jul 28</t>
        </is>
      </c>
      <c r="B32" s="8" t="inlineStr">
        <is>
          <t>Network</t>
        </is>
      </c>
      <c r="C32" s="8" t="inlineStr">
        <is>
          <t>Designer prospect list built (50 names: IALD/ALA/IES rosters + IG); outreach sequence written</t>
        </is>
      </c>
      <c r="D32" s="8" t="inlineStr">
        <is>
          <t>Founder</t>
        </is>
      </c>
    </row>
    <row r="33">
      <c r="A33" s="6" t="inlineStr">
        <is>
          <t>Aug 4</t>
        </is>
      </c>
      <c r="B33" s="6" t="inlineStr">
        <is>
          <t>Founding clients</t>
        </is>
      </c>
      <c r="C33" s="6" t="inlineStr">
        <is>
          <t>Founding Client Program page live; 25 personal-network invitations sent; 100-building commercial list built (county records + walk-the-street)</t>
        </is>
      </c>
      <c r="D33" s="6" t="inlineStr">
        <is>
          <t>Founder</t>
        </is>
      </c>
    </row>
    <row r="34">
      <c r="A34" s="8" t="inlineStr">
        <is>
          <t>Aug 4</t>
        </is>
      </c>
      <c r="B34" s="8" t="inlineStr">
        <is>
          <t>Content</t>
        </is>
      </c>
      <c r="C34" s="8" t="inlineStr">
        <is>
          <t>First restoration documented start-to-finish (own/thrifted fixture if no client yet) — 200+ photos, video</t>
        </is>
      </c>
      <c r="D34" s="8" t="inlineStr">
        <is>
          <t>Founder</t>
        </is>
      </c>
    </row>
    <row r="35">
      <c r="A35" s="6" t="inlineStr">
        <is>
          <t>Aug 11</t>
        </is>
      </c>
      <c r="B35" s="6" t="inlineStr">
        <is>
          <t>Product</t>
        </is>
      </c>
      <c r="C35" s="6" t="inlineStr">
        <is>
          <t>Vela samples received → test rig validation (dimming curves, CCT, flicker); accept/reject; production PO for launch stock</t>
        </is>
      </c>
      <c r="D35" s="6" t="inlineStr">
        <is>
          <t>Founder</t>
        </is>
      </c>
    </row>
    <row r="36">
      <c r="A36" s="8" t="inlineStr">
        <is>
          <t>Aug 11</t>
        </is>
      </c>
      <c r="B36" s="8" t="inlineStr">
        <is>
          <t>Sales</t>
        </is>
      </c>
      <c r="C36" s="8" t="inlineStr">
        <is>
          <t>First 3 founding projects signed (any mix); first commercial audits booked (target 5)</t>
        </is>
      </c>
      <c r="D36" s="8" t="inlineStr">
        <is>
          <t>Founder</t>
        </is>
      </c>
    </row>
    <row r="37">
      <c r="A37" s="6" t="inlineStr">
        <is>
          <t>Aug 18</t>
        </is>
      </c>
      <c r="B37" s="6" t="inlineStr">
        <is>
          <t>Marketing</t>
        </is>
      </c>
      <c r="C37" s="6" t="inlineStr">
        <is>
          <t>GBP live + 10 photos; local citations (top 20 directories); review flow tested end-to-end</t>
        </is>
      </c>
      <c r="D37" s="6" t="inlineStr">
        <is>
          <t>Founder</t>
        </is>
      </c>
    </row>
    <row r="38">
      <c r="A38" s="8" t="inlineStr">
        <is>
          <t>Aug 18</t>
        </is>
      </c>
      <c r="B38" s="8" t="inlineStr">
        <is>
          <t>Ops</t>
        </is>
      </c>
      <c r="C38" s="8" t="inlineStr">
        <is>
          <t>Supabase order/lead pipeline drilled: order → confirm → manufacturer PO → delivery → service record. Test with founding project #1</t>
        </is>
      </c>
      <c r="D38" s="8" t="inlineStr">
        <is>
          <t>Founder</t>
        </is>
      </c>
    </row>
    <row r="39">
      <c r="A39" s="6" t="inlineStr">
        <is>
          <t>Aug 25</t>
        </is>
      </c>
      <c r="B39" s="6" t="inlineStr">
        <is>
          <t>Funding</t>
        </is>
      </c>
      <c r="C39" s="6" t="inlineStr">
        <is>
          <t>SBA application submitted (microloan or 7(a) small per Funding tab decision)</t>
        </is>
      </c>
      <c r="D39" s="6" t="inlineStr">
        <is>
          <t>Founder</t>
        </is>
      </c>
    </row>
    <row r="40">
      <c r="A40" s="8" t="inlineStr">
        <is>
          <t>Aug 25</t>
        </is>
      </c>
      <c r="B40" s="8" t="inlineStr">
        <is>
          <t>Content</t>
        </is>
      </c>
      <c r="C40" s="8" t="inlineStr">
        <is>
          <t>Case study #1 published (site + GBP + social); email sequence for AI-plan leads written (5 emails)</t>
        </is>
      </c>
      <c r="D40" s="8" t="inlineStr">
        <is>
          <t>Founder</t>
        </is>
      </c>
    </row>
    <row r="41">
      <c r="A41" s="6" t="inlineStr">
        <is>
          <t>Sep 1</t>
        </is>
      </c>
      <c r="B41" s="6" t="inlineStr">
        <is>
          <t>Sales</t>
        </is>
      </c>
      <c r="C41" s="6" t="inlineStr">
        <is>
          <t>Founding projects 4–6 signed; 2 retrofit audits delivered with savings analysis; first retrofit proposal out</t>
        </is>
      </c>
      <c r="D41" s="6" t="inlineStr">
        <is>
          <t>Founder</t>
        </is>
      </c>
    </row>
    <row r="42">
      <c r="A42" s="8" t="inlineStr">
        <is>
          <t>Sep 8</t>
        </is>
      </c>
      <c r="B42" s="8" t="inlineStr">
        <is>
          <t>Network</t>
        </is>
      </c>
      <c r="C42" s="8" t="inlineStr">
        <is>
          <t>First 3 designer applications through vetting; founding-member terms finalized from their feedback</t>
        </is>
      </c>
      <c r="D42" s="8" t="inlineStr">
        <is>
          <t>Founder</t>
        </is>
      </c>
    </row>
    <row r="43">
      <c r="A43" s="6" t="inlineStr">
        <is>
          <t>Sep 8</t>
        </is>
      </c>
      <c r="B43" s="6" t="inlineStr">
        <is>
          <t>Site</t>
        </is>
      </c>
      <c r="C43" s="6" t="inlineStr">
        <is>
          <t>Payments decision executed (Stripe deposits recommended); env vars set; live order flow tested with real card</t>
        </is>
      </c>
      <c r="D43" s="6" t="inlineStr">
        <is>
          <t>Founder</t>
        </is>
      </c>
    </row>
    <row r="44">
      <c r="A44" s="8" t="inlineStr">
        <is>
          <t>Sep 15</t>
        </is>
      </c>
      <c r="B44" s="8" t="inlineStr">
        <is>
          <t>Marketing</t>
        </is>
      </c>
      <c r="C44" s="8" t="inlineStr">
        <is>
          <t>Launch content batch produced: 12 posts scheduled, launch email written, PR pitch to 5 local outlets ('the chandelier surgeon' angle)</t>
        </is>
      </c>
      <c r="D44" s="8" t="inlineStr">
        <is>
          <t>Founder</t>
        </is>
      </c>
    </row>
    <row r="45">
      <c r="A45" s="6" t="inlineStr">
        <is>
          <t>Sep 22</t>
        </is>
      </c>
      <c r="B45" s="6" t="inlineStr">
        <is>
          <t>Dress rehearsal</t>
        </is>
      </c>
      <c r="C45" s="6" t="inlineStr">
        <is>
          <t>Full dry run: AI plan → consult → proposal → deposit on a real prospect; fix every seam found</t>
        </is>
      </c>
      <c r="D45" s="6" t="inlineStr">
        <is>
          <t>Founder</t>
        </is>
      </c>
    </row>
    <row r="46">
      <c r="A46" s="8" t="inlineStr">
        <is>
          <t>Sep 29</t>
        </is>
      </c>
      <c r="B46" s="8" t="inlineStr">
        <is>
          <t>LAUNCH WEEK</t>
        </is>
      </c>
      <c r="C46" s="8" t="inlineStr">
        <is>
          <t>Public launch Oct 1: PR out, launch email, GBP posts, first retrofit install scheduled, review engine on</t>
        </is>
      </c>
      <c r="D46" s="8" t="inlineStr">
        <is>
          <t>Founder</t>
        </is>
      </c>
    </row>
    <row r="48">
      <c r="A48" s="3" t="inlineStr">
        <is>
          <t>2.5 POST-LAUNCH 90 DAYS (Oct–Dec)</t>
        </is>
      </c>
      <c r="B48" s="4" t="n"/>
      <c r="C48" s="4" t="n"/>
      <c r="D48" s="4" t="n"/>
    </row>
    <row r="49">
      <c r="A49" s="7" t="inlineStr">
        <is>
          <t>Month</t>
        </is>
      </c>
      <c r="B49" s="7" t="inlineStr">
        <is>
          <t>Focus</t>
        </is>
      </c>
      <c r="C49" s="7" t="inlineStr">
        <is>
          <t>Exit criteria</t>
        </is>
      </c>
    </row>
    <row r="50">
      <c r="A50" s="6" t="inlineStr">
        <is>
          <t>Oct</t>
        </is>
      </c>
      <c r="B50" s="6" t="inlineStr">
        <is>
          <t>Deliver founding projects flawlessly; weekly content from real work</t>
        </is>
      </c>
      <c r="C50" s="6" t="inlineStr">
        <is>
          <t>3 projects delivered; 5 reviews; audit pipeline ≥ 8</t>
        </is>
      </c>
    </row>
    <row r="51">
      <c r="A51" s="8" t="inlineStr">
        <is>
          <t>Nov</t>
        </is>
      </c>
      <c r="B51" s="8" t="inlineStr">
        <is>
          <t>Convert audit pipeline; first designer-sourced project</t>
        </is>
      </c>
      <c r="C51" s="8" t="inlineStr">
        <is>
          <t>2 retrofits closed; 5 designers active; CAC data by channel</t>
        </is>
      </c>
    </row>
    <row r="52">
      <c r="A52" s="6" t="inlineStr">
        <is>
          <t>Dec</t>
        </is>
      </c>
      <c r="B52" s="6" t="inlineStr">
        <is>
          <t>Paid media pilot ($2k) on proven message; 2027 plan from real data</t>
        </is>
      </c>
      <c r="C52" s="6" t="inlineStr">
        <is>
          <t>10 lighthouse projects done → Phase 1 gate review (tab 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60" customWidth="1" min="4" max="4"/>
    <col width="26" customWidth="1" min="5" max="5"/>
    <col width="60" customWidth="1" min="6" max="6"/>
  </cols>
  <sheetData>
    <row r="1" ht="26" customHeight="1">
      <c r="A1" s="1" t="inlineStr">
        <is>
          <t>3 · PHASED APPROACH — GATES, NOT DATES</t>
        </is>
      </c>
    </row>
    <row r="2">
      <c r="A2" s="2" t="inlineStr">
        <is>
          <t>Dates are targets; gates are law. A phase ends only when its exit gates are met. If a gate fails twice, the plan is wrong — revise it, don't force it.</t>
        </is>
      </c>
    </row>
    <row r="4">
      <c r="A4" s="7" t="inlineStr">
        <is>
          <t>Phase</t>
        </is>
      </c>
      <c r="B4" s="7" t="inlineStr">
        <is>
          <t>Window (target)</t>
        </is>
      </c>
      <c r="C4" s="7" t="inlineStr">
        <is>
          <t>Theme</t>
        </is>
      </c>
      <c r="D4" s="7" t="inlineStr">
        <is>
          <t>Key activities</t>
        </is>
      </c>
      <c r="E4" s="7" t="inlineStr">
        <is>
          <t>Investment</t>
        </is>
      </c>
      <c r="F4" s="7" t="inlineStr">
        <is>
          <t>EXIT GATES (all required)</t>
        </is>
      </c>
    </row>
    <row r="5">
      <c r="A5" s="6" t="inlineStr">
        <is>
          <t>Phase 0 — Foundation</t>
        </is>
      </c>
      <c r="B5" s="6" t="inlineStr">
        <is>
          <t>Jul–Sep 2026</t>
        </is>
      </c>
      <c r="C5" s="6" t="inlineStr">
        <is>
          <t>Legal, capital, assets, pipeline</t>
        </is>
      </c>
      <c r="D5" s="6" t="inlineStr">
        <is>
          <t>Everything in the Workback (tab 2): entity, insurance, licensing path, SBA app, Vela samples, founding-client recruitment, designer outreach</t>
        </is>
      </c>
      <c r="E5" s="6" t="inlineStr">
        <is>
          <t>≈$45k (setup portion of startup budget)</t>
        </is>
      </c>
      <c r="F5" s="6" t="inlineStr">
        <is>
          <t>Insurance bound · EC sub signed · funding approved or bank-balance runway ≥9 mo · 6 founding projects signed · site live on real domain</t>
        </is>
      </c>
    </row>
    <row r="6">
      <c r="A6" s="8" t="inlineStr">
        <is>
          <t>Phase 1 — Proof</t>
        </is>
      </c>
      <c r="B6" s="8" t="inlineStr">
        <is>
          <t>Oct 2026–Mar 2027</t>
        </is>
      </c>
      <c r="C6" s="8" t="inlineStr">
        <is>
          <t>10 lighthouse projects, case-study engine</t>
        </is>
      </c>
      <c r="D6" s="8" t="inlineStr">
        <is>
          <t>Deliver founding projects at cost-plus; 20 commercial audits; publish 8+ case studies; 8 founding designers; paid media pilot; service plans attached to every turnkey job</t>
        </is>
      </c>
      <c r="E6" s="8" t="inlineStr">
        <is>
          <t>≈$35k ops + marketing pilot</t>
        </is>
      </c>
      <c r="F6" s="8" t="inlineStr">
        <is>
          <t>10 projects delivered · ≥15 reviews at 4.8+ · blended GM ≥40% · CAC known per channel · 2 designer-sourced projects · cash ≥ plan</t>
        </is>
      </c>
    </row>
    <row r="7">
      <c r="A7" s="6" t="inlineStr">
        <is>
          <t>Phase 2 — Traction</t>
        </is>
      </c>
      <c r="B7" s="6" t="inlineStr">
        <is>
          <t>Apr–Dec 2027</t>
        </is>
      </c>
      <c r="C7" s="6" t="inlineStr">
        <is>
          <t>Repeatable revenue machine</t>
        </is>
      </c>
      <c r="D7" s="6" t="inlineStr">
        <is>
          <t>Hire journeyman + bench tech; retrofit becomes 50%+ of revenue; Vela attaches to every project; raise prices 10–15% off proof; scale winning ad channels; 15 active designers</t>
        </is>
      </c>
      <c r="E7" s="6" t="inlineStr">
        <is>
          <t>Funded by operations + remaining SBA</t>
        </is>
      </c>
      <c r="F7" s="6" t="inlineStr">
        <is>
          <t>$70k+/mo revenue for 3 consecutive months · GM ≥45% · founder &lt;25% time on delivery · service base ≥30 contracts</t>
        </is>
      </c>
    </row>
    <row r="8">
      <c r="A8" s="8" t="inlineStr">
        <is>
          <t>Phase 3 — Scale</t>
        </is>
      </c>
      <c r="B8" s="8" t="inlineStr">
        <is>
          <t>2028</t>
        </is>
      </c>
      <c r="C8" s="8" t="inlineStr">
        <is>
          <t>Second metro via network + Vela trade sales</t>
        </is>
      </c>
      <c r="D8" s="8" t="inlineStr">
        <is>
          <t>Designer-led expansion (no office): 5+ designers in metro #2 with local EC subs; Vela sold to non-project trade (reps/distribution); coordinator + crew #2; consider 504 loan for facility purchase</t>
        </is>
      </c>
      <c r="E8" s="8" t="inlineStr">
        <is>
          <t>New capital decision point (LOC/504/retained earnings)</t>
        </is>
      </c>
      <c r="F8" s="8" t="inlineStr">
        <is>
          <t>Metro #2 ≥$25k/mo · Vela third-party ≥15% of product revenue · EBITDA ≥15%</t>
        </is>
      </c>
    </row>
    <row r="9">
      <c r="A9" s="6" t="inlineStr">
        <is>
          <t>Phase 4 — Platform</t>
        </is>
      </c>
      <c r="B9" s="6" t="inlineStr">
        <is>
          <t>2029+</t>
        </is>
      </c>
      <c r="C9" s="6" t="inlineStr">
        <is>
          <t>Optionality</t>
        </is>
      </c>
      <c r="D9" s="6" t="inlineStr">
        <is>
          <t>Choose deliberately: (a) regional dominance + cash cow; (b) Vela spinout as product company; (c) franchise/license the model + software to other operators; (d) strategic sale (the About-page thesis: integrated platform + product line + network = attractive acquisition)</t>
        </is>
      </c>
      <c r="E9" s="6" t="inlineStr">
        <is>
          <t>Depends on path</t>
        </is>
      </c>
      <c r="F9" s="6" t="inlineStr">
        <is>
          <t>Owner's call — the business supports all four</t>
        </is>
      </c>
    </row>
    <row r="11">
      <c r="A11" s="3" t="inlineStr">
        <is>
          <t>PHASE-GATE REVIEW RITUAL</t>
        </is>
      </c>
      <c r="B11" s="4" t="n"/>
      <c r="C11" s="4" t="n"/>
      <c r="D11" s="4" t="n"/>
      <c r="E11" s="4" t="n"/>
      <c r="F11" s="4" t="n"/>
    </row>
    <row r="12">
      <c r="A12" s="2" t="inlineStr">
        <is>
          <t>Last Friday of each phase-end month: score every gate red/green with evidence (numbers from the Forecast tab actuals column). Two reds = phase extends one quarter and ONE root cause gets fixed. Never carry more than one red into a new phase.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6" customWidth="1" min="3" max="3"/>
    <col width="16" customWidth="1" min="4" max="4"/>
    <col width="20" customWidth="1" min="5" max="5"/>
    <col width="30" customWidth="1" min="6" max="6"/>
    <col width="48" customWidth="1" min="7" max="7"/>
  </cols>
  <sheetData>
    <row r="1" ht="26" customHeight="1">
      <c r="A1" s="1" t="inlineStr">
        <is>
          <t>4 · REVENUE ENGINE — HOW EVERY DOLLAR IS MADE</t>
        </is>
      </c>
    </row>
    <row r="3">
      <c r="A3" s="3" t="inlineStr">
        <is>
          <t>4.1 SIX REVENUE STREAMS — UNIT ECONOMICS</t>
        </is>
      </c>
      <c r="B3" s="4" t="n"/>
      <c r="C3" s="4" t="n"/>
      <c r="D3" s="4" t="n"/>
      <c r="E3" s="4" t="n"/>
      <c r="F3" s="4" t="n"/>
      <c r="G3" s="4" t="n"/>
    </row>
    <row r="4">
      <c r="A4" s="7" t="inlineStr">
        <is>
          <t>Stream</t>
        </is>
      </c>
      <c r="B4" s="7" t="inlineStr">
        <is>
          <t>Avg ticket</t>
        </is>
      </c>
      <c r="C4" s="7" t="inlineStr">
        <is>
          <t>COGS</t>
        </is>
      </c>
      <c r="D4" s="7" t="inlineStr">
        <is>
          <t>Gross margin</t>
        </is>
      </c>
      <c r="E4" s="7" t="inlineStr">
        <is>
          <t>Sales cycle</t>
        </is>
      </c>
      <c r="F4" s="7" t="inlineStr">
        <is>
          <t>Volume lever</t>
        </is>
      </c>
      <c r="G4" s="7" t="inlineStr">
        <is>
          <t>Notes</t>
        </is>
      </c>
    </row>
    <row r="5">
      <c r="A5" s="6" t="inlineStr">
        <is>
          <t>1. Turnkey LED retrofit</t>
        </is>
      </c>
      <c r="B5" s="6" t="inlineStr">
        <is>
          <t>$28,000</t>
        </is>
      </c>
      <c r="C5" s="6" t="inlineStr">
        <is>
          <t>Kits+labor+disposal ≈ 58%</t>
        </is>
      </c>
      <c r="D5" s="6" t="inlineStr">
        <is>
          <t>≈42%</t>
        </is>
      </c>
      <c r="E5" s="6" t="inlineStr">
        <is>
          <t>3–8 wks (audit→close)</t>
        </is>
      </c>
      <c r="F5" s="6" t="inlineStr">
        <is>
          <t>Audits booked/mo</t>
        </is>
      </c>
      <c r="G5" s="6" t="inlineStr">
        <is>
          <t>Rebates improve CLIENT math, not our margin — we also charge $350–500 rebate filing (often waived to close)</t>
        </is>
      </c>
    </row>
    <row r="6">
      <c r="A6" s="8" t="inlineStr">
        <is>
          <t>2. Restoration &amp; chandelier repair</t>
        </is>
      </c>
      <c r="B6" s="8" t="inlineStr">
        <is>
          <t>$2,800</t>
        </is>
      </c>
      <c r="C6" s="8" t="inlineStr">
        <is>
          <t>Parts+plating+bench hrs ≈ 40%</t>
        </is>
      </c>
      <c r="D6" s="8" t="inlineStr">
        <is>
          <t>≈60%</t>
        </is>
      </c>
      <c r="E6" s="8" t="inlineStr">
        <is>
          <t>1–3 wks</t>
        </is>
      </c>
      <c r="F6" s="8" t="inlineStr">
        <is>
          <t>Bench capacity; ship-in commissions are unbounded by geography</t>
        </is>
      </c>
      <c r="G6" s="8" t="inlineStr">
        <is>
          <t>Highest margin + highest brand value; photograph everything</t>
        </is>
      </c>
    </row>
    <row r="7">
      <c r="A7" s="6" t="inlineStr">
        <is>
          <t>3. Custom fixtures</t>
        </is>
      </c>
      <c r="B7" s="6" t="inlineStr">
        <is>
          <t>$7,500</t>
        </is>
      </c>
      <c r="C7" s="6" t="inlineStr">
        <is>
          <t>Fabrication partners ≈ 55%</t>
        </is>
      </c>
      <c r="D7" s="6" t="inlineStr">
        <is>
          <t>≈45%</t>
        </is>
      </c>
      <c r="E7" s="6" t="inlineStr">
        <is>
          <t>4–10 wks</t>
        </is>
      </c>
      <c r="F7" s="6" t="inlineStr">
        <is>
          <t>Designer relationships</t>
        </is>
      </c>
      <c r="G7" s="6" t="inlineStr">
        <is>
          <t>50% deposit funds the build — negative working capital</t>
        </is>
      </c>
    </row>
    <row r="8">
      <c r="A8" s="8" t="inlineStr">
        <is>
          <t>4. Vela Series product</t>
        </is>
      </c>
      <c r="B8" s="8" t="inlineStr">
        <is>
          <t>$1,800/order</t>
        </is>
      </c>
      <c r="C8" s="8" t="inlineStr">
        <is>
          <t>ODM landed ≈ 45–55%</t>
        </is>
      </c>
      <c r="D8" s="8" t="inlineStr">
        <is>
          <t>≈45–55%</t>
        </is>
      </c>
      <c r="E8" s="8" t="inlineStr">
        <is>
          <t>0–4 wks</t>
        </is>
      </c>
      <c r="F8" s="8" t="inlineStr">
        <is>
          <t>Spec attach rate; trade accounts</t>
        </is>
      </c>
      <c r="G8" s="8" t="inlineStr">
        <is>
          <t>Internal projects yr 1; third-party trade sales yr 2+ is the equity story</t>
        </is>
      </c>
    </row>
    <row r="9">
      <c r="A9" s="6" t="inlineStr">
        <is>
          <t>5. Service plans</t>
        </is>
      </c>
      <c r="B9" s="6" t="inlineStr">
        <is>
          <t>$588/yr equiv</t>
        </is>
      </c>
      <c r="C9" s="6" t="inlineStr">
        <is>
          <t>Truck time ≈ 30%</t>
        </is>
      </c>
      <c r="D9" s="6" t="inlineStr">
        <is>
          <t>≈70%</t>
        </is>
      </c>
      <c r="E9" s="6" t="inlineStr">
        <is>
          <t>Attached at sale</t>
        </is>
      </c>
      <c r="F9" s="6" t="inlineStr">
        <is>
          <t>Installed base</t>
        </is>
      </c>
      <c r="G9" s="6" t="inlineStr">
        <is>
          <t>Included in turnkey price (priced in!); standalone $29–99/mo for non-turnkey clients</t>
        </is>
      </c>
    </row>
    <row r="10">
      <c r="A10" s="8" t="inlineStr">
        <is>
          <t>6. Design fees &amp; audits</t>
        </is>
      </c>
      <c r="B10" s="8" t="inlineStr">
        <is>
          <t>$150–$500</t>
        </is>
      </c>
      <c r="C10" s="8" t="inlineStr">
        <is>
          <t>Founder time</t>
        </is>
      </c>
      <c r="D10" s="8" t="inlineStr">
        <is>
          <t>≈90%</t>
        </is>
      </c>
      <c r="E10" s="8" t="inlineStr">
        <is>
          <t>Days</t>
        </is>
      </c>
      <c r="F10" s="8" t="inlineStr">
        <is>
          <t>AI Studio volume</t>
        </is>
      </c>
      <c r="G10" s="8" t="inlineStr">
        <is>
          <t>Credited to projects — a filter that pays for itself</t>
        </is>
      </c>
    </row>
    <row r="12">
      <c r="A12" s="3" t="inlineStr">
        <is>
          <t>4.2 PRICING STRATEGY</t>
        </is>
      </c>
      <c r="B12" s="4" t="n"/>
      <c r="C12" s="4" t="n"/>
      <c r="D12" s="4" t="n"/>
      <c r="E12" s="4" t="n"/>
      <c r="F12" s="4" t="n"/>
      <c r="G12" s="4" t="n"/>
    </row>
    <row r="13">
      <c r="A13" s="2" t="inlineStr">
        <is>
          <t>Value-based, never cost-plus (except founding clients, deliberately). Retrofit priced against the CLIENT's savings: target ≤30-month payback for them, which supports our 42%+ margin. Restoration priced per documented assessment — the dossier justifies the invoice. Custom priced by statement value, floor at 45% GM. Raise prices 10–15% at Phase 2 entry; proof removes price sensitivity.</t>
        </is>
      </c>
    </row>
    <row r="14">
      <c r="A14" s="2" t="inlineStr">
        <is>
          <t>Optional retrofit closer for hesitant SMBs: shared-savings pilot (we finance one zone, split verified savings 50/50 for 24 mo) — use sparingly, max 1 active pilot, it's a sales tool not a business model.</t>
        </is>
      </c>
    </row>
    <row r="16">
      <c r="A16" s="3" t="inlineStr">
        <is>
          <t>4.3 LTV / CAC BY SEGMENT</t>
        </is>
      </c>
      <c r="B16" s="4" t="n"/>
      <c r="C16" s="4" t="n"/>
      <c r="D16" s="4" t="n"/>
      <c r="E16" s="4" t="n"/>
      <c r="F16" s="4" t="n"/>
      <c r="G16" s="4" t="n"/>
    </row>
    <row r="17">
      <c r="A17" s="7" t="inlineStr">
        <is>
          <t>Segment</t>
        </is>
      </c>
      <c r="B17" s="7" t="inlineStr">
        <is>
          <t>First ticket GM</t>
        </is>
      </c>
      <c r="C17" s="7" t="inlineStr">
        <is>
          <t>Expansion path</t>
        </is>
      </c>
      <c r="D17" s="7" t="inlineStr">
        <is>
          <t>3-yr LTV (GM)</t>
        </is>
      </c>
      <c r="E17" s="7" t="inlineStr">
        <is>
          <t>CAC ceiling (payback ≤ 1st project)</t>
        </is>
      </c>
    </row>
    <row r="18">
      <c r="A18" s="6" t="inlineStr">
        <is>
          <t>Heritage Homeowner</t>
        </is>
      </c>
      <c r="B18" s="6" t="inlineStr">
        <is>
          <t>$1,700</t>
        </is>
      </c>
      <c r="C18" s="6" t="inlineStr">
        <is>
          <t>2nd fixture · relamp sets · referrals (avg 1.3)</t>
        </is>
      </c>
      <c r="D18" s="6" t="inlineStr">
        <is>
          <t>≈$4,200</t>
        </is>
      </c>
      <c r="E18" s="6" t="inlineStr">
        <is>
          <t>$450</t>
        </is>
      </c>
    </row>
    <row r="19">
      <c r="A19" s="8" t="inlineStr">
        <is>
          <t>Design-Led Renovator</t>
        </is>
      </c>
      <c r="B19" s="8" t="inlineStr">
        <is>
          <t>$3,400</t>
        </is>
      </c>
      <c r="C19" s="8" t="inlineStr">
        <is>
          <t>Whole-home phases · service plan · designer referral loop</t>
        </is>
      </c>
      <c r="D19" s="8" t="inlineStr">
        <is>
          <t>≈$8,000</t>
        </is>
      </c>
      <c r="E19" s="8" t="inlineStr">
        <is>
          <t>$450</t>
        </is>
      </c>
    </row>
    <row r="20">
      <c r="A20" s="6" t="inlineStr">
        <is>
          <t>SMB Retrofit</t>
        </is>
      </c>
      <c r="B20" s="6" t="inlineStr">
        <is>
          <t>$11,800</t>
        </is>
      </c>
      <c r="C20" s="6" t="inlineStr">
        <is>
          <t>2nd building · controls upgrade · service base · referrals</t>
        </is>
      </c>
      <c r="D20" s="6" t="inlineStr">
        <is>
          <t>≈$21,000</t>
        </is>
      </c>
      <c r="E20" s="6" t="inlineStr">
        <is>
          <t>$1,200</t>
        </is>
      </c>
    </row>
    <row r="21">
      <c r="A21" s="8" t="inlineStr">
        <is>
          <t>Hospitality</t>
        </is>
      </c>
      <c r="B21" s="8" t="inlineStr">
        <is>
          <t>$9,000</t>
        </is>
      </c>
      <c r="C21" s="8" t="inlineStr">
        <is>
          <t>Location #2+ · seasonal re-lamping · scene updates</t>
        </is>
      </c>
      <c r="D21" s="8" t="inlineStr">
        <is>
          <t>≈$19,000</t>
        </is>
      </c>
      <c r="E21" s="8" t="inlineStr">
        <is>
          <t>$1,500</t>
        </is>
      </c>
    </row>
    <row r="22">
      <c r="A22" s="6" t="inlineStr">
        <is>
          <t>Trade partner</t>
        </is>
      </c>
      <c r="B22" s="6" t="inlineStr">
        <is>
          <t>$2,500/proj</t>
        </is>
      </c>
      <c r="C22" s="6" t="inlineStr">
        <is>
          <t>Every future project they spec</t>
        </is>
      </c>
      <c r="D22" s="6" t="inlineStr">
        <is>
          <t>≈$15,000+</t>
        </is>
      </c>
      <c r="E22" s="6" t="inlineStr">
        <is>
          <t>$800 (recruiting cost)</t>
        </is>
      </c>
    </row>
    <row r="24">
      <c r="A24" s="3" t="inlineStr">
        <is>
          <t>4.4 CASH MODEL — WHY THIS BUSINESS IS CASH-FRIENDLY</t>
        </is>
      </c>
      <c r="B24" s="4" t="n"/>
      <c r="C24" s="4" t="n"/>
      <c r="D24" s="4" t="n"/>
      <c r="E24" s="4" t="n"/>
      <c r="F24" s="4" t="n"/>
      <c r="G24" s="4" t="n"/>
    </row>
    <row r="25">
      <c r="A25" s="2" t="inlineStr">
        <is>
          <t>Made-to-order + 50% deposits = we hold client cash before we owe suppliers. Retrofit: 50/40/10 (deposit/delivery/completion). Custom: 50/50. Restoration: assessment fee upfront + 50% on quote approval. Vela stock is the ONLY inventory risk — cap initial stock at $12k and reorder against backlog.</t>
        </is>
      </c>
    </row>
    <row r="26">
      <c r="A26" s="2" t="inlineStr">
        <is>
          <t>Discipline: 13-week rolling cash forecast every Monday; deposits are project cash, not payroll — track WIP liability explicitly in QuickBooks.</t>
        </is>
      </c>
    </row>
    <row r="28">
      <c r="A28" s="3" t="inlineStr">
        <is>
          <t>4.5 MARGIN WATERFALL TARGET (steady state, Phase 2)</t>
        </is>
      </c>
      <c r="B28" s="4" t="n"/>
      <c r="C28" s="4" t="n"/>
      <c r="D28" s="4" t="n"/>
      <c r="E28" s="4" t="n"/>
      <c r="F28" s="4" t="n"/>
      <c r="G28" s="4" t="n"/>
    </row>
    <row r="29">
      <c r="A29" s="7" t="inlineStr">
        <is>
          <t>Line</t>
        </is>
      </c>
      <c r="B29" s="7" t="inlineStr">
        <is>
          <t>% of revenue</t>
        </is>
      </c>
    </row>
    <row r="30">
      <c r="A30" s="6" t="inlineStr">
        <is>
          <t>Blended COGS</t>
        </is>
      </c>
      <c r="B30" s="6" t="inlineStr">
        <is>
          <t>≈54%</t>
        </is>
      </c>
    </row>
    <row r="31">
      <c r="A31" s="8" t="inlineStr">
        <is>
          <t>Gross margin</t>
        </is>
      </c>
      <c r="B31" s="8" t="inlineStr">
        <is>
          <t>≈46%</t>
        </is>
      </c>
    </row>
    <row r="32">
      <c r="A32" s="6" t="inlineStr">
        <is>
          <t>Marketing</t>
        </is>
      </c>
      <c r="B32" s="6" t="inlineStr">
        <is>
          <t>8–10%</t>
        </is>
      </c>
    </row>
    <row r="33">
      <c r="A33" s="8" t="inlineStr">
        <is>
          <t>Ops/facility/insurance/software</t>
        </is>
      </c>
      <c r="B33" s="8" t="inlineStr">
        <is>
          <t>10–12%</t>
        </is>
      </c>
    </row>
    <row r="34">
      <c r="A34" s="6" t="inlineStr">
        <is>
          <t>Payroll (non-COGS)</t>
        </is>
      </c>
      <c r="B34" s="6" t="inlineStr">
        <is>
          <t>12–15%</t>
        </is>
      </c>
    </row>
    <row r="35">
      <c r="A35" s="8" t="inlineStr">
        <is>
          <t>EBITDA target</t>
        </is>
      </c>
      <c r="B35" s="8" t="inlineStr">
        <is>
          <t>12–16%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2" customWidth="1" min="27" max="27"/>
  </cols>
  <sheetData>
    <row r="1">
      <c r="A1" s="9" t="inlineStr">
        <is>
          <t>5 · 36-MONTH FORECAST — EDIT THE YELLOW CELLS; EVERYTHING RECALCULATES</t>
        </is>
      </c>
    </row>
    <row r="2">
      <c r="A2" s="10" t="inlineStr">
        <is>
          <t>Base case. Yellow = your assumptions (tickets, margins, volumes, opex, funding). Formulas do the rest. Y3 column = Year-2 total × growth factor.</t>
        </is>
      </c>
    </row>
    <row r="4">
      <c r="A4" s="11" t="inlineStr">
        <is>
          <t>ASSUMPTIONS — UNIT ECONOMICS</t>
        </is>
      </c>
    </row>
    <row r="5">
      <c r="A5" s="12" t="inlineStr">
        <is>
          <t>Avg retrofit project ($)</t>
        </is>
      </c>
      <c r="B5" s="13" t="n">
        <v>22000</v>
      </c>
      <c r="D5" s="12" t="inlineStr">
        <is>
          <t>Avg GM %</t>
        </is>
      </c>
      <c r="E5" s="14" t="n">
        <v>0.42</v>
      </c>
    </row>
    <row r="6">
      <c r="A6" s="12" t="inlineStr">
        <is>
          <t>Avg restoration ($)</t>
        </is>
      </c>
      <c r="B6" s="13" t="n">
        <v>2800</v>
      </c>
      <c r="D6" s="12" t="inlineStr">
        <is>
          <t>Avg GM %</t>
        </is>
      </c>
      <c r="E6" s="14" t="n">
        <v>0.6</v>
      </c>
    </row>
    <row r="7">
      <c r="A7" s="12" t="inlineStr">
        <is>
          <t>Avg custom fixture ($)</t>
        </is>
      </c>
      <c r="B7" s="13" t="n">
        <v>7500</v>
      </c>
      <c r="D7" s="12" t="inlineStr">
        <is>
          <t>Avg GM %</t>
        </is>
      </c>
      <c r="E7" s="14" t="n">
        <v>0.45</v>
      </c>
    </row>
    <row r="8">
      <c r="A8" s="12" t="inlineStr">
        <is>
          <t>Avg Vela order ($)</t>
        </is>
      </c>
      <c r="B8" s="13" t="n">
        <v>1800</v>
      </c>
      <c r="D8" s="12" t="inlineStr">
        <is>
          <t>Avg GM %</t>
        </is>
      </c>
      <c r="E8" s="14" t="n">
        <v>0.5</v>
      </c>
    </row>
    <row r="9">
      <c r="A9" s="12" t="inlineStr">
        <is>
          <t>Service plan ($/contract/mo)</t>
        </is>
      </c>
      <c r="B9" s="15" t="n">
        <v>49</v>
      </c>
      <c r="D9" s="12" t="inlineStr">
        <is>
          <t>Avg GM %</t>
        </is>
      </c>
      <c r="E9" s="14" t="n">
        <v>0.7</v>
      </c>
    </row>
    <row r="10">
      <c r="A10" s="12" t="inlineStr">
        <is>
          <t>Avg design/audit fee ($)</t>
        </is>
      </c>
      <c r="B10" s="13" t="n">
        <v>300</v>
      </c>
      <c r="D10" s="12" t="inlineStr">
        <is>
          <t>Avg GM %</t>
        </is>
      </c>
      <c r="E10" s="14" t="n">
        <v>0.9</v>
      </c>
    </row>
    <row r="11">
      <c r="A11" s="12" t="inlineStr">
        <is>
          <t>Year-3 growth factor (× Y2)</t>
        </is>
      </c>
      <c r="B11" s="15" t="n">
        <v>1.6</v>
      </c>
    </row>
    <row r="13">
      <c r="A13" s="16" t="inlineStr">
        <is>
          <t>MONTHLY MODEL</t>
        </is>
      </c>
      <c r="B13" s="16" t="inlineStr">
        <is>
          <t>Y1 total</t>
        </is>
      </c>
      <c r="C13" s="16" t="inlineStr">
        <is>
          <t>Jul '26</t>
        </is>
      </c>
      <c r="D13" s="16" t="inlineStr">
        <is>
          <t>Aug '26</t>
        </is>
      </c>
      <c r="E13" s="16" t="inlineStr">
        <is>
          <t>Sep '26</t>
        </is>
      </c>
      <c r="F13" s="16" t="inlineStr">
        <is>
          <t>Oct '26</t>
        </is>
      </c>
      <c r="G13" s="16" t="inlineStr">
        <is>
          <t>Nov '26</t>
        </is>
      </c>
      <c r="H13" s="16" t="inlineStr">
        <is>
          <t>Dec '26</t>
        </is>
      </c>
      <c r="I13" s="16" t="inlineStr">
        <is>
          <t>Jan '27</t>
        </is>
      </c>
      <c r="J13" s="16" t="inlineStr">
        <is>
          <t>Feb '27</t>
        </is>
      </c>
      <c r="K13" s="16" t="inlineStr">
        <is>
          <t>Mar '27</t>
        </is>
      </c>
      <c r="L13" s="16" t="inlineStr">
        <is>
          <t>Apr '27</t>
        </is>
      </c>
      <c r="M13" s="16" t="inlineStr">
        <is>
          <t>May '27</t>
        </is>
      </c>
      <c r="N13" s="16" t="inlineStr">
        <is>
          <t>Jun '27</t>
        </is>
      </c>
      <c r="O13" s="16" t="inlineStr">
        <is>
          <t>Jul '27</t>
        </is>
      </c>
      <c r="P13" s="16" t="inlineStr">
        <is>
          <t>Aug '27</t>
        </is>
      </c>
      <c r="Q13" s="16" t="inlineStr">
        <is>
          <t>Sep '27</t>
        </is>
      </c>
      <c r="R13" s="16" t="inlineStr">
        <is>
          <t>Oct '27</t>
        </is>
      </c>
      <c r="S13" s="16" t="inlineStr">
        <is>
          <t>Nov '27</t>
        </is>
      </c>
      <c r="T13" s="16" t="inlineStr">
        <is>
          <t>Dec '27</t>
        </is>
      </c>
      <c r="U13" s="16" t="inlineStr">
        <is>
          <t>Jan '28</t>
        </is>
      </c>
      <c r="V13" s="16" t="inlineStr">
        <is>
          <t>Feb '28</t>
        </is>
      </c>
      <c r="W13" s="16" t="inlineStr">
        <is>
          <t>Mar '28</t>
        </is>
      </c>
      <c r="X13" s="16" t="inlineStr">
        <is>
          <t>Apr '28</t>
        </is>
      </c>
      <c r="Y13" s="16" t="inlineStr">
        <is>
          <t>May '28</t>
        </is>
      </c>
      <c r="Z13" s="16" t="inlineStr">
        <is>
          <t>Jun '28</t>
        </is>
      </c>
      <c r="AA13" s="16" t="inlineStr">
        <is>
          <t>Year 3</t>
        </is>
      </c>
    </row>
    <row r="14">
      <c r="A14" s="12" t="inlineStr">
        <is>
          <t>Retrofit projects closed</t>
        </is>
      </c>
      <c r="C14" s="17" t="n">
        <v>0</v>
      </c>
      <c r="D14" s="17" t="n">
        <v>0</v>
      </c>
      <c r="E14" s="17" t="n">
        <v>0</v>
      </c>
      <c r="F14" s="17" t="n">
        <v>1</v>
      </c>
      <c r="G14" s="17" t="n">
        <v>1</v>
      </c>
      <c r="H14" s="17" t="n">
        <v>0</v>
      </c>
      <c r="I14" s="17" t="n">
        <v>1</v>
      </c>
      <c r="J14" s="17" t="n">
        <v>1</v>
      </c>
      <c r="K14" s="17" t="n">
        <v>1</v>
      </c>
      <c r="L14" s="17" t="n">
        <v>1</v>
      </c>
      <c r="M14" s="17" t="n">
        <v>1</v>
      </c>
      <c r="N14" s="17" t="n">
        <v>1</v>
      </c>
      <c r="O14" s="17" t="n">
        <v>1</v>
      </c>
      <c r="P14" s="17" t="n">
        <v>2</v>
      </c>
      <c r="Q14" s="17" t="n">
        <v>2</v>
      </c>
      <c r="R14" s="17" t="n">
        <v>2</v>
      </c>
      <c r="S14" s="17" t="n">
        <v>2</v>
      </c>
      <c r="T14" s="17" t="n">
        <v>2</v>
      </c>
      <c r="U14" s="17" t="n">
        <v>2</v>
      </c>
      <c r="V14" s="17" t="n">
        <v>3</v>
      </c>
      <c r="W14" s="17" t="n">
        <v>3</v>
      </c>
      <c r="X14" s="17" t="n">
        <v>3</v>
      </c>
      <c r="Y14" s="17" t="n">
        <v>3</v>
      </c>
      <c r="Z14" s="17" t="n">
        <v>3</v>
      </c>
    </row>
    <row r="15">
      <c r="A15" s="12" t="inlineStr">
        <is>
          <t>Restorations completed</t>
        </is>
      </c>
      <c r="C15" s="17" t="n">
        <v>0</v>
      </c>
      <c r="D15" s="17" t="n">
        <v>1</v>
      </c>
      <c r="E15" s="17" t="n">
        <v>2</v>
      </c>
      <c r="F15" s="17" t="n">
        <v>2</v>
      </c>
      <c r="G15" s="17" t="n">
        <v>2</v>
      </c>
      <c r="H15" s="17" t="n">
        <v>3</v>
      </c>
      <c r="I15" s="17" t="n">
        <v>3</v>
      </c>
      <c r="J15" s="17" t="n">
        <v>3</v>
      </c>
      <c r="K15" s="17" t="n">
        <v>3</v>
      </c>
      <c r="L15" s="17" t="n">
        <v>4</v>
      </c>
      <c r="M15" s="17" t="n">
        <v>4</v>
      </c>
      <c r="N15" s="17" t="n">
        <v>4</v>
      </c>
      <c r="O15" s="17" t="n">
        <v>4</v>
      </c>
      <c r="P15" s="17" t="n">
        <v>4</v>
      </c>
      <c r="Q15" s="17" t="n">
        <v>5</v>
      </c>
      <c r="R15" s="17" t="n">
        <v>5</v>
      </c>
      <c r="S15" s="17" t="n">
        <v>5</v>
      </c>
      <c r="T15" s="17" t="n">
        <v>5</v>
      </c>
      <c r="U15" s="17" t="n">
        <v>6</v>
      </c>
      <c r="V15" s="17" t="n">
        <v>6</v>
      </c>
      <c r="W15" s="17" t="n">
        <v>6</v>
      </c>
      <c r="X15" s="17" t="n">
        <v>6</v>
      </c>
      <c r="Y15" s="17" t="n">
        <v>7</v>
      </c>
      <c r="Z15" s="17" t="n">
        <v>7</v>
      </c>
    </row>
    <row r="16">
      <c r="A16" s="12" t="inlineStr">
        <is>
          <t>Custom fixtures delivered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  <c r="O16" s="17" t="n">
        <v>1</v>
      </c>
      <c r="P16" s="17" t="n">
        <v>1</v>
      </c>
      <c r="Q16" s="17" t="n">
        <v>2</v>
      </c>
      <c r="R16" s="17" t="n">
        <v>1</v>
      </c>
      <c r="S16" s="17" t="n">
        <v>2</v>
      </c>
      <c r="T16" s="17" t="n">
        <v>2</v>
      </c>
      <c r="U16" s="17" t="n">
        <v>2</v>
      </c>
      <c r="V16" s="17" t="n">
        <v>2</v>
      </c>
      <c r="W16" s="17" t="n">
        <v>2</v>
      </c>
      <c r="X16" s="17" t="n">
        <v>2</v>
      </c>
      <c r="Y16" s="17" t="n">
        <v>2</v>
      </c>
      <c r="Z16" s="17" t="n">
        <v>2</v>
      </c>
    </row>
    <row r="17">
      <c r="A17" s="12" t="inlineStr">
        <is>
          <t>Vela orders</t>
        </is>
      </c>
      <c r="C17" s="17" t="n">
        <v>0</v>
      </c>
      <c r="D17" s="17" t="n">
        <v>0</v>
      </c>
      <c r="E17" s="17" t="n">
        <v>1</v>
      </c>
      <c r="F17" s="17" t="n">
        <v>1</v>
      </c>
      <c r="G17" s="17" t="n">
        <v>1</v>
      </c>
      <c r="H17" s="17" t="n">
        <v>2</v>
      </c>
      <c r="I17" s="17" t="n">
        <v>2</v>
      </c>
      <c r="J17" s="17" t="n">
        <v>2</v>
      </c>
      <c r="K17" s="17" t="n">
        <v>2</v>
      </c>
      <c r="L17" s="17" t="n">
        <v>3</v>
      </c>
      <c r="M17" s="17" t="n">
        <v>3</v>
      </c>
      <c r="N17" s="17" t="n">
        <v>3</v>
      </c>
      <c r="O17" s="17" t="n">
        <v>3</v>
      </c>
      <c r="P17" s="17" t="n">
        <v>4</v>
      </c>
      <c r="Q17" s="17" t="n">
        <v>4</v>
      </c>
      <c r="R17" s="17" t="n">
        <v>4</v>
      </c>
      <c r="S17" s="17" t="n">
        <v>5</v>
      </c>
      <c r="T17" s="17" t="n">
        <v>5</v>
      </c>
      <c r="U17" s="17" t="n">
        <v>5</v>
      </c>
      <c r="V17" s="17" t="n">
        <v>6</v>
      </c>
      <c r="W17" s="17" t="n">
        <v>6</v>
      </c>
      <c r="X17" s="17" t="n">
        <v>6</v>
      </c>
      <c r="Y17" s="17" t="n">
        <v>7</v>
      </c>
      <c r="Z17" s="17" t="n">
        <v>7</v>
      </c>
    </row>
    <row r="18">
      <c r="A18" s="12" t="inlineStr">
        <is>
          <t>NEW service contracts</t>
        </is>
      </c>
      <c r="C18" s="17" t="n">
        <v>0</v>
      </c>
      <c r="D18" s="17" t="n">
        <v>0</v>
      </c>
      <c r="E18" s="17" t="n">
        <v>0</v>
      </c>
      <c r="F18" s="17" t="n">
        <v>1</v>
      </c>
      <c r="G18" s="17" t="n">
        <v>1</v>
      </c>
      <c r="H18" s="17" t="n">
        <v>0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2</v>
      </c>
      <c r="Q18" s="17" t="n">
        <v>2</v>
      </c>
      <c r="R18" s="17" t="n">
        <v>2</v>
      </c>
      <c r="S18" s="17" t="n">
        <v>2</v>
      </c>
      <c r="T18" s="17" t="n">
        <v>2</v>
      </c>
      <c r="U18" s="17" t="n">
        <v>2</v>
      </c>
      <c r="V18" s="17" t="n">
        <v>3</v>
      </c>
      <c r="W18" s="17" t="n">
        <v>3</v>
      </c>
      <c r="X18" s="17" t="n">
        <v>3</v>
      </c>
      <c r="Y18" s="17" t="n">
        <v>3</v>
      </c>
      <c r="Z18" s="17" t="n">
        <v>3</v>
      </c>
    </row>
    <row r="19">
      <c r="A19" s="12" t="inlineStr">
        <is>
          <t>Design consults/audits (paid)</t>
        </is>
      </c>
      <c r="C19" s="17" t="n">
        <v>2</v>
      </c>
      <c r="D19" s="17" t="n">
        <v>3</v>
      </c>
      <c r="E19" s="17" t="n">
        <v>4</v>
      </c>
      <c r="F19" s="17" t="n">
        <v>5</v>
      </c>
      <c r="G19" s="17" t="n">
        <v>6</v>
      </c>
      <c r="H19" s="17" t="n">
        <v>6</v>
      </c>
      <c r="I19" s="17" t="n">
        <v>7</v>
      </c>
      <c r="J19" s="17" t="n">
        <v>7</v>
      </c>
      <c r="K19" s="17" t="n">
        <v>8</v>
      </c>
      <c r="L19" s="17" t="n">
        <v>8</v>
      </c>
      <c r="M19" s="17" t="n">
        <v>8</v>
      </c>
      <c r="N19" s="17" t="n">
        <v>8</v>
      </c>
      <c r="O19" s="17" t="n">
        <v>8</v>
      </c>
      <c r="P19" s="17" t="n">
        <v>9</v>
      </c>
      <c r="Q19" s="17" t="n">
        <v>9</v>
      </c>
      <c r="R19" s="17" t="n">
        <v>10</v>
      </c>
      <c r="S19" s="17" t="n">
        <v>10</v>
      </c>
      <c r="T19" s="17" t="n">
        <v>10</v>
      </c>
      <c r="U19" s="17" t="n">
        <v>11</v>
      </c>
      <c r="V19" s="17" t="n">
        <v>11</v>
      </c>
      <c r="W19" s="17" t="n">
        <v>12</v>
      </c>
      <c r="X19" s="17" t="n">
        <v>12</v>
      </c>
      <c r="Y19" s="17" t="n">
        <v>12</v>
      </c>
      <c r="Z19" s="17" t="n">
        <v>12</v>
      </c>
    </row>
    <row r="21">
      <c r="A21" s="12" t="inlineStr">
        <is>
          <t>Service contracts (cumulative)</t>
        </is>
      </c>
      <c r="C21" s="18">
        <f>C18</f>
        <v/>
      </c>
      <c r="D21" s="18">
        <f>C21+D18</f>
        <v/>
      </c>
      <c r="E21" s="18">
        <f>D21+E18</f>
        <v/>
      </c>
      <c r="F21" s="18">
        <f>E21+F18</f>
        <v/>
      </c>
      <c r="G21" s="18">
        <f>F21+G18</f>
        <v/>
      </c>
      <c r="H21" s="18">
        <f>G21+H18</f>
        <v/>
      </c>
      <c r="I21" s="18">
        <f>H21+I18</f>
        <v/>
      </c>
      <c r="J21" s="18">
        <f>I21+J18</f>
        <v/>
      </c>
      <c r="K21" s="18">
        <f>J21+K18</f>
        <v/>
      </c>
      <c r="L21" s="18">
        <f>K21+L18</f>
        <v/>
      </c>
      <c r="M21" s="18">
        <f>L21+M18</f>
        <v/>
      </c>
      <c r="N21" s="18">
        <f>M21+N18</f>
        <v/>
      </c>
      <c r="O21" s="18">
        <f>N21+O18</f>
        <v/>
      </c>
      <c r="P21" s="18">
        <f>O21+P18</f>
        <v/>
      </c>
      <c r="Q21" s="18">
        <f>P21+Q18</f>
        <v/>
      </c>
      <c r="R21" s="18">
        <f>Q21+R18</f>
        <v/>
      </c>
      <c r="S21" s="18">
        <f>R21+S18</f>
        <v/>
      </c>
      <c r="T21" s="18">
        <f>S21+T18</f>
        <v/>
      </c>
      <c r="U21" s="18">
        <f>T21+U18</f>
        <v/>
      </c>
      <c r="V21" s="18">
        <f>U21+V18</f>
        <v/>
      </c>
      <c r="W21" s="18">
        <f>V21+W18</f>
        <v/>
      </c>
      <c r="X21" s="18">
        <f>W21+X18</f>
        <v/>
      </c>
      <c r="Y21" s="18">
        <f>X21+Y18</f>
        <v/>
      </c>
      <c r="Z21" s="18">
        <f>Y21+Z18</f>
        <v/>
      </c>
      <c r="AA21" s="18">
        <f>Z21*$B$11</f>
        <v/>
      </c>
    </row>
    <row r="23">
      <c r="A23" s="11" t="inlineStr">
        <is>
          <t>REVENUE</t>
        </is>
      </c>
    </row>
    <row r="24">
      <c r="A24" s="12" t="inlineStr">
        <is>
          <t>Retrofit revenue</t>
        </is>
      </c>
      <c r="B24" s="19">
        <f>SUM(C24:N24)</f>
        <v/>
      </c>
      <c r="C24" s="20">
        <f>C14*$B$5</f>
        <v/>
      </c>
      <c r="D24" s="20">
        <f>D14*$B$5</f>
        <v/>
      </c>
      <c r="E24" s="20">
        <f>E14*$B$5</f>
        <v/>
      </c>
      <c r="F24" s="20">
        <f>F14*$B$5</f>
        <v/>
      </c>
      <c r="G24" s="20">
        <f>G14*$B$5</f>
        <v/>
      </c>
      <c r="H24" s="20">
        <f>H14*$B$5</f>
        <v/>
      </c>
      <c r="I24" s="20">
        <f>I14*$B$5</f>
        <v/>
      </c>
      <c r="J24" s="20">
        <f>J14*$B$5</f>
        <v/>
      </c>
      <c r="K24" s="20">
        <f>K14*$B$5</f>
        <v/>
      </c>
      <c r="L24" s="20">
        <f>L14*$B$5</f>
        <v/>
      </c>
      <c r="M24" s="20">
        <f>M14*$B$5</f>
        <v/>
      </c>
      <c r="N24" s="20">
        <f>N14*$B$5</f>
        <v/>
      </c>
      <c r="O24" s="20">
        <f>O14*$B$5</f>
        <v/>
      </c>
      <c r="P24" s="20">
        <f>P14*$B$5</f>
        <v/>
      </c>
      <c r="Q24" s="20">
        <f>Q14*$B$5</f>
        <v/>
      </c>
      <c r="R24" s="20">
        <f>R14*$B$5</f>
        <v/>
      </c>
      <c r="S24" s="20">
        <f>S14*$B$5</f>
        <v/>
      </c>
      <c r="T24" s="20">
        <f>T14*$B$5</f>
        <v/>
      </c>
      <c r="U24" s="20">
        <f>U14*$B$5</f>
        <v/>
      </c>
      <c r="V24" s="20">
        <f>V14*$B$5</f>
        <v/>
      </c>
      <c r="W24" s="20">
        <f>W14*$B$5</f>
        <v/>
      </c>
      <c r="X24" s="20">
        <f>X14*$B$5</f>
        <v/>
      </c>
      <c r="Y24" s="20">
        <f>Y14*$B$5</f>
        <v/>
      </c>
      <c r="Z24" s="20">
        <f>Z14*$B$5</f>
        <v/>
      </c>
      <c r="AA24" s="20">
        <f>SUM(O24:Z24)*$B$11</f>
        <v/>
      </c>
    </row>
    <row r="25">
      <c r="A25" s="12" t="inlineStr">
        <is>
          <t>Restoration revenue</t>
        </is>
      </c>
      <c r="B25" s="19">
        <f>SUM(C25:N25)</f>
        <v/>
      </c>
      <c r="C25" s="20">
        <f>C15*$B$6</f>
        <v/>
      </c>
      <c r="D25" s="20">
        <f>D15*$B$6</f>
        <v/>
      </c>
      <c r="E25" s="20">
        <f>E15*$B$6</f>
        <v/>
      </c>
      <c r="F25" s="20">
        <f>F15*$B$6</f>
        <v/>
      </c>
      <c r="G25" s="20">
        <f>G15*$B$6</f>
        <v/>
      </c>
      <c r="H25" s="20">
        <f>H15*$B$6</f>
        <v/>
      </c>
      <c r="I25" s="20">
        <f>I15*$B$6</f>
        <v/>
      </c>
      <c r="J25" s="20">
        <f>J15*$B$6</f>
        <v/>
      </c>
      <c r="K25" s="20">
        <f>K15*$B$6</f>
        <v/>
      </c>
      <c r="L25" s="20">
        <f>L15*$B$6</f>
        <v/>
      </c>
      <c r="M25" s="20">
        <f>M15*$B$6</f>
        <v/>
      </c>
      <c r="N25" s="20">
        <f>N15*$B$6</f>
        <v/>
      </c>
      <c r="O25" s="20">
        <f>O15*$B$6</f>
        <v/>
      </c>
      <c r="P25" s="20">
        <f>P15*$B$6</f>
        <v/>
      </c>
      <c r="Q25" s="20">
        <f>Q15*$B$6</f>
        <v/>
      </c>
      <c r="R25" s="20">
        <f>R15*$B$6</f>
        <v/>
      </c>
      <c r="S25" s="20">
        <f>S15*$B$6</f>
        <v/>
      </c>
      <c r="T25" s="20">
        <f>T15*$B$6</f>
        <v/>
      </c>
      <c r="U25" s="20">
        <f>U15*$B$6</f>
        <v/>
      </c>
      <c r="V25" s="20">
        <f>V15*$B$6</f>
        <v/>
      </c>
      <c r="W25" s="20">
        <f>W15*$B$6</f>
        <v/>
      </c>
      <c r="X25" s="20">
        <f>X15*$B$6</f>
        <v/>
      </c>
      <c r="Y25" s="20">
        <f>Y15*$B$6</f>
        <v/>
      </c>
      <c r="Z25" s="20">
        <f>Z15*$B$6</f>
        <v/>
      </c>
      <c r="AA25" s="20">
        <f>SUM(O25:Z25)*$B$11</f>
        <v/>
      </c>
    </row>
    <row r="26">
      <c r="A26" s="12" t="inlineStr">
        <is>
          <t>Custom fixture revenue</t>
        </is>
      </c>
      <c r="B26" s="19">
        <f>SUM(C26:N26)</f>
        <v/>
      </c>
      <c r="C26" s="20">
        <f>C16*$B$7</f>
        <v/>
      </c>
      <c r="D26" s="20">
        <f>D16*$B$7</f>
        <v/>
      </c>
      <c r="E26" s="20">
        <f>E16*$B$7</f>
        <v/>
      </c>
      <c r="F26" s="20">
        <f>F16*$B$7</f>
        <v/>
      </c>
      <c r="G26" s="20">
        <f>G16*$B$7</f>
        <v/>
      </c>
      <c r="H26" s="20">
        <f>H16*$B$7</f>
        <v/>
      </c>
      <c r="I26" s="20">
        <f>I16*$B$7</f>
        <v/>
      </c>
      <c r="J26" s="20">
        <f>J16*$B$7</f>
        <v/>
      </c>
      <c r="K26" s="20">
        <f>K16*$B$7</f>
        <v/>
      </c>
      <c r="L26" s="20">
        <f>L16*$B$7</f>
        <v/>
      </c>
      <c r="M26" s="20">
        <f>M16*$B$7</f>
        <v/>
      </c>
      <c r="N26" s="20">
        <f>N16*$B$7</f>
        <v/>
      </c>
      <c r="O26" s="20">
        <f>O16*$B$7</f>
        <v/>
      </c>
      <c r="P26" s="20">
        <f>P16*$B$7</f>
        <v/>
      </c>
      <c r="Q26" s="20">
        <f>Q16*$B$7</f>
        <v/>
      </c>
      <c r="R26" s="20">
        <f>R16*$B$7</f>
        <v/>
      </c>
      <c r="S26" s="20">
        <f>S16*$B$7</f>
        <v/>
      </c>
      <c r="T26" s="20">
        <f>T16*$B$7</f>
        <v/>
      </c>
      <c r="U26" s="20">
        <f>U16*$B$7</f>
        <v/>
      </c>
      <c r="V26" s="20">
        <f>V16*$B$7</f>
        <v/>
      </c>
      <c r="W26" s="20">
        <f>W16*$B$7</f>
        <v/>
      </c>
      <c r="X26" s="20">
        <f>X16*$B$7</f>
        <v/>
      </c>
      <c r="Y26" s="20">
        <f>Y16*$B$7</f>
        <v/>
      </c>
      <c r="Z26" s="20">
        <f>Z16*$B$7</f>
        <v/>
      </c>
      <c r="AA26" s="20">
        <f>SUM(O26:Z26)*$B$11</f>
        <v/>
      </c>
    </row>
    <row r="27">
      <c r="A27" s="12" t="inlineStr">
        <is>
          <t>Vela product revenue</t>
        </is>
      </c>
      <c r="B27" s="19">
        <f>SUM(C27:N27)</f>
        <v/>
      </c>
      <c r="C27" s="20">
        <f>C17*$B$8</f>
        <v/>
      </c>
      <c r="D27" s="20">
        <f>D17*$B$8</f>
        <v/>
      </c>
      <c r="E27" s="20">
        <f>E17*$B$8</f>
        <v/>
      </c>
      <c r="F27" s="20">
        <f>F17*$B$8</f>
        <v/>
      </c>
      <c r="G27" s="20">
        <f>G17*$B$8</f>
        <v/>
      </c>
      <c r="H27" s="20">
        <f>H17*$B$8</f>
        <v/>
      </c>
      <c r="I27" s="20">
        <f>I17*$B$8</f>
        <v/>
      </c>
      <c r="J27" s="20">
        <f>J17*$B$8</f>
        <v/>
      </c>
      <c r="K27" s="20">
        <f>K17*$B$8</f>
        <v/>
      </c>
      <c r="L27" s="20">
        <f>L17*$B$8</f>
        <v/>
      </c>
      <c r="M27" s="20">
        <f>M17*$B$8</f>
        <v/>
      </c>
      <c r="N27" s="20">
        <f>N17*$B$8</f>
        <v/>
      </c>
      <c r="O27" s="20">
        <f>O17*$B$8</f>
        <v/>
      </c>
      <c r="P27" s="20">
        <f>P17*$B$8</f>
        <v/>
      </c>
      <c r="Q27" s="20">
        <f>Q17*$B$8</f>
        <v/>
      </c>
      <c r="R27" s="20">
        <f>R17*$B$8</f>
        <v/>
      </c>
      <c r="S27" s="20">
        <f>S17*$B$8</f>
        <v/>
      </c>
      <c r="T27" s="20">
        <f>T17*$B$8</f>
        <v/>
      </c>
      <c r="U27" s="20">
        <f>U17*$B$8</f>
        <v/>
      </c>
      <c r="V27" s="20">
        <f>V17*$B$8</f>
        <v/>
      </c>
      <c r="W27" s="20">
        <f>W17*$B$8</f>
        <v/>
      </c>
      <c r="X27" s="20">
        <f>X17*$B$8</f>
        <v/>
      </c>
      <c r="Y27" s="20">
        <f>Y17*$B$8</f>
        <v/>
      </c>
      <c r="Z27" s="20">
        <f>Z17*$B$8</f>
        <v/>
      </c>
      <c r="AA27" s="20">
        <f>SUM(O27:Z27)*$B$11</f>
        <v/>
      </c>
    </row>
    <row r="28">
      <c r="A28" s="12" t="inlineStr">
        <is>
          <t>Service plan revenue</t>
        </is>
      </c>
      <c r="B28" s="19">
        <f>SUM(C28:N28)</f>
        <v/>
      </c>
      <c r="C28" s="20">
        <f>C21*$B$9</f>
        <v/>
      </c>
      <c r="D28" s="20">
        <f>D21*$B$9</f>
        <v/>
      </c>
      <c r="E28" s="20">
        <f>E21*$B$9</f>
        <v/>
      </c>
      <c r="F28" s="20">
        <f>F21*$B$9</f>
        <v/>
      </c>
      <c r="G28" s="20">
        <f>G21*$B$9</f>
        <v/>
      </c>
      <c r="H28" s="20">
        <f>H21*$B$9</f>
        <v/>
      </c>
      <c r="I28" s="20">
        <f>I21*$B$9</f>
        <v/>
      </c>
      <c r="J28" s="20">
        <f>J21*$B$9</f>
        <v/>
      </c>
      <c r="K28" s="20">
        <f>K21*$B$9</f>
        <v/>
      </c>
      <c r="L28" s="20">
        <f>L21*$B$9</f>
        <v/>
      </c>
      <c r="M28" s="20">
        <f>M21*$B$9</f>
        <v/>
      </c>
      <c r="N28" s="20">
        <f>N21*$B$9</f>
        <v/>
      </c>
      <c r="O28" s="20">
        <f>O21*$B$9</f>
        <v/>
      </c>
      <c r="P28" s="20">
        <f>P21*$B$9</f>
        <v/>
      </c>
      <c r="Q28" s="20">
        <f>Q21*$B$9</f>
        <v/>
      </c>
      <c r="R28" s="20">
        <f>R21*$B$9</f>
        <v/>
      </c>
      <c r="S28" s="20">
        <f>S21*$B$9</f>
        <v/>
      </c>
      <c r="T28" s="20">
        <f>T21*$B$9</f>
        <v/>
      </c>
      <c r="U28" s="20">
        <f>U21*$B$9</f>
        <v/>
      </c>
      <c r="V28" s="20">
        <f>V21*$B$9</f>
        <v/>
      </c>
      <c r="W28" s="20">
        <f>W21*$B$9</f>
        <v/>
      </c>
      <c r="X28" s="20">
        <f>X21*$B$9</f>
        <v/>
      </c>
      <c r="Y28" s="20">
        <f>Y21*$B$9</f>
        <v/>
      </c>
      <c r="Z28" s="20">
        <f>Z21*$B$9</f>
        <v/>
      </c>
      <c r="AA28" s="20">
        <f>SUM(O28:Z28)*$B$11</f>
        <v/>
      </c>
    </row>
    <row r="29">
      <c r="A29" s="12" t="inlineStr">
        <is>
          <t>Design/audit fees</t>
        </is>
      </c>
      <c r="B29" s="19">
        <f>SUM(C29:N29)</f>
        <v/>
      </c>
      <c r="C29" s="20">
        <f>C19*$B$10</f>
        <v/>
      </c>
      <c r="D29" s="20">
        <f>D19*$B$10</f>
        <v/>
      </c>
      <c r="E29" s="20">
        <f>E19*$B$10</f>
        <v/>
      </c>
      <c r="F29" s="20">
        <f>F19*$B$10</f>
        <v/>
      </c>
      <c r="G29" s="20">
        <f>G19*$B$10</f>
        <v/>
      </c>
      <c r="H29" s="20">
        <f>H19*$B$10</f>
        <v/>
      </c>
      <c r="I29" s="20">
        <f>I19*$B$10</f>
        <v/>
      </c>
      <c r="J29" s="20">
        <f>J19*$B$10</f>
        <v/>
      </c>
      <c r="K29" s="20">
        <f>K19*$B$10</f>
        <v/>
      </c>
      <c r="L29" s="20">
        <f>L19*$B$10</f>
        <v/>
      </c>
      <c r="M29" s="20">
        <f>M19*$B$10</f>
        <v/>
      </c>
      <c r="N29" s="20">
        <f>N19*$B$10</f>
        <v/>
      </c>
      <c r="O29" s="20">
        <f>O19*$B$10</f>
        <v/>
      </c>
      <c r="P29" s="20">
        <f>P19*$B$10</f>
        <v/>
      </c>
      <c r="Q29" s="20">
        <f>Q19*$B$10</f>
        <v/>
      </c>
      <c r="R29" s="20">
        <f>R19*$B$10</f>
        <v/>
      </c>
      <c r="S29" s="20">
        <f>S19*$B$10</f>
        <v/>
      </c>
      <c r="T29" s="20">
        <f>T19*$B$10</f>
        <v/>
      </c>
      <c r="U29" s="20">
        <f>U19*$B$10</f>
        <v/>
      </c>
      <c r="V29" s="20">
        <f>V19*$B$10</f>
        <v/>
      </c>
      <c r="W29" s="20">
        <f>W19*$B$10</f>
        <v/>
      </c>
      <c r="X29" s="20">
        <f>X19*$B$10</f>
        <v/>
      </c>
      <c r="Y29" s="20">
        <f>Y19*$B$10</f>
        <v/>
      </c>
      <c r="Z29" s="20">
        <f>Z19*$B$10</f>
        <v/>
      </c>
      <c r="AA29" s="20">
        <f>SUM(O29:Z29)*$B$11</f>
        <v/>
      </c>
    </row>
    <row r="30">
      <c r="A30" s="21" t="inlineStr">
        <is>
          <t>TOTAL REVENUE</t>
        </is>
      </c>
      <c r="B30" s="19">
        <f>SUM(C30:N30)</f>
        <v/>
      </c>
      <c r="C30" s="22">
        <f>C24+C25+C26+C27+C28+C29</f>
        <v/>
      </c>
      <c r="D30" s="22">
        <f>D24+D25+D26+D27+D28+D29</f>
        <v/>
      </c>
      <c r="E30" s="22">
        <f>E24+E25+E26+E27+E28+E29</f>
        <v/>
      </c>
      <c r="F30" s="22">
        <f>F24+F25+F26+F27+F28+F29</f>
        <v/>
      </c>
      <c r="G30" s="22">
        <f>G24+G25+G26+G27+G28+G29</f>
        <v/>
      </c>
      <c r="H30" s="22">
        <f>H24+H25+H26+H27+H28+H29</f>
        <v/>
      </c>
      <c r="I30" s="22">
        <f>I24+I25+I26+I27+I28+I29</f>
        <v/>
      </c>
      <c r="J30" s="22">
        <f>J24+J25+J26+J27+J28+J29</f>
        <v/>
      </c>
      <c r="K30" s="22">
        <f>K24+K25+K26+K27+K28+K29</f>
        <v/>
      </c>
      <c r="L30" s="22">
        <f>L24+L25+L26+L27+L28+L29</f>
        <v/>
      </c>
      <c r="M30" s="22">
        <f>M24+M25+M26+M27+M28+M29</f>
        <v/>
      </c>
      <c r="N30" s="22">
        <f>N24+N25+N26+N27+N28+N29</f>
        <v/>
      </c>
      <c r="O30" s="22">
        <f>O24+O25+O26+O27+O28+O29</f>
        <v/>
      </c>
      <c r="P30" s="22">
        <f>P24+P25+P26+P27+P28+P29</f>
        <v/>
      </c>
      <c r="Q30" s="22">
        <f>Q24+Q25+Q26+Q27+Q28+Q29</f>
        <v/>
      </c>
      <c r="R30" s="22">
        <f>R24+R25+R26+R27+R28+R29</f>
        <v/>
      </c>
      <c r="S30" s="22">
        <f>S24+S25+S26+S27+S28+S29</f>
        <v/>
      </c>
      <c r="T30" s="22">
        <f>T24+T25+T26+T27+T28+T29</f>
        <v/>
      </c>
      <c r="U30" s="22">
        <f>U24+U25+U26+U27+U28+U29</f>
        <v/>
      </c>
      <c r="V30" s="22">
        <f>V24+V25+V26+V27+V28+V29</f>
        <v/>
      </c>
      <c r="W30" s="22">
        <f>W24+W25+W26+W27+W28+W29</f>
        <v/>
      </c>
      <c r="X30" s="22">
        <f>X24+X25+X26+X27+X28+X29</f>
        <v/>
      </c>
      <c r="Y30" s="22">
        <f>Y24+Y25+Y26+Y27+Y28+Y29</f>
        <v/>
      </c>
      <c r="Z30" s="22">
        <f>Z24+Z25+Z26+Z27+Z28+Z29</f>
        <v/>
      </c>
      <c r="AA30" s="23">
        <f>AA24+AA25+AA26+AA27+AA28+AA29</f>
        <v/>
      </c>
    </row>
    <row r="32">
      <c r="A32" s="11" t="inlineStr">
        <is>
          <t>GROSS MARGIN</t>
        </is>
      </c>
    </row>
    <row r="33">
      <c r="A33" s="12" t="inlineStr">
        <is>
          <t>Retrofit GM</t>
        </is>
      </c>
      <c r="B33" s="19">
        <f>SUM(C33:N33)</f>
        <v/>
      </c>
      <c r="C33" s="20">
        <f>C24*$E$5</f>
        <v/>
      </c>
      <c r="D33" s="20">
        <f>D24*$E$5</f>
        <v/>
      </c>
      <c r="E33" s="20">
        <f>E24*$E$5</f>
        <v/>
      </c>
      <c r="F33" s="20">
        <f>F24*$E$5</f>
        <v/>
      </c>
      <c r="G33" s="20">
        <f>G24*$E$5</f>
        <v/>
      </c>
      <c r="H33" s="20">
        <f>H24*$E$5</f>
        <v/>
      </c>
      <c r="I33" s="20">
        <f>I24*$E$5</f>
        <v/>
      </c>
      <c r="J33" s="20">
        <f>J24*$E$5</f>
        <v/>
      </c>
      <c r="K33" s="20">
        <f>K24*$E$5</f>
        <v/>
      </c>
      <c r="L33" s="20">
        <f>L24*$E$5</f>
        <v/>
      </c>
      <c r="M33" s="20">
        <f>M24*$E$5</f>
        <v/>
      </c>
      <c r="N33" s="20">
        <f>N24*$E$5</f>
        <v/>
      </c>
      <c r="O33" s="20">
        <f>O24*$E$5</f>
        <v/>
      </c>
      <c r="P33" s="20">
        <f>P24*$E$5</f>
        <v/>
      </c>
      <c r="Q33" s="20">
        <f>Q24*$E$5</f>
        <v/>
      </c>
      <c r="R33" s="20">
        <f>R24*$E$5</f>
        <v/>
      </c>
      <c r="S33" s="20">
        <f>S24*$E$5</f>
        <v/>
      </c>
      <c r="T33" s="20">
        <f>T24*$E$5</f>
        <v/>
      </c>
      <c r="U33" s="20">
        <f>U24*$E$5</f>
        <v/>
      </c>
      <c r="V33" s="20">
        <f>V24*$E$5</f>
        <v/>
      </c>
      <c r="W33" s="20">
        <f>W24*$E$5</f>
        <v/>
      </c>
      <c r="X33" s="20">
        <f>X24*$E$5</f>
        <v/>
      </c>
      <c r="Y33" s="20">
        <f>Y24*$E$5</f>
        <v/>
      </c>
      <c r="Z33" s="20">
        <f>Z24*$E$5</f>
        <v/>
      </c>
      <c r="AA33" s="20">
        <f>AA24*$E$5</f>
        <v/>
      </c>
    </row>
    <row r="34">
      <c r="A34" s="12" t="inlineStr">
        <is>
          <t>Restoration GM</t>
        </is>
      </c>
      <c r="B34" s="19">
        <f>SUM(C34:N34)</f>
        <v/>
      </c>
      <c r="C34" s="20">
        <f>C25*$E$6</f>
        <v/>
      </c>
      <c r="D34" s="20">
        <f>D25*$E$6</f>
        <v/>
      </c>
      <c r="E34" s="20">
        <f>E25*$E$6</f>
        <v/>
      </c>
      <c r="F34" s="20">
        <f>F25*$E$6</f>
        <v/>
      </c>
      <c r="G34" s="20">
        <f>G25*$E$6</f>
        <v/>
      </c>
      <c r="H34" s="20">
        <f>H25*$E$6</f>
        <v/>
      </c>
      <c r="I34" s="20">
        <f>I25*$E$6</f>
        <v/>
      </c>
      <c r="J34" s="20">
        <f>J25*$E$6</f>
        <v/>
      </c>
      <c r="K34" s="20">
        <f>K25*$E$6</f>
        <v/>
      </c>
      <c r="L34" s="20">
        <f>L25*$E$6</f>
        <v/>
      </c>
      <c r="M34" s="20">
        <f>M25*$E$6</f>
        <v/>
      </c>
      <c r="N34" s="20">
        <f>N25*$E$6</f>
        <v/>
      </c>
      <c r="O34" s="20">
        <f>O25*$E$6</f>
        <v/>
      </c>
      <c r="P34" s="20">
        <f>P25*$E$6</f>
        <v/>
      </c>
      <c r="Q34" s="20">
        <f>Q25*$E$6</f>
        <v/>
      </c>
      <c r="R34" s="20">
        <f>R25*$E$6</f>
        <v/>
      </c>
      <c r="S34" s="20">
        <f>S25*$E$6</f>
        <v/>
      </c>
      <c r="T34" s="20">
        <f>T25*$E$6</f>
        <v/>
      </c>
      <c r="U34" s="20">
        <f>U25*$E$6</f>
        <v/>
      </c>
      <c r="V34" s="20">
        <f>V25*$E$6</f>
        <v/>
      </c>
      <c r="W34" s="20">
        <f>W25*$E$6</f>
        <v/>
      </c>
      <c r="X34" s="20">
        <f>X25*$E$6</f>
        <v/>
      </c>
      <c r="Y34" s="20">
        <f>Y25*$E$6</f>
        <v/>
      </c>
      <c r="Z34" s="20">
        <f>Z25*$E$6</f>
        <v/>
      </c>
      <c r="AA34" s="20">
        <f>AA25*$E$6</f>
        <v/>
      </c>
    </row>
    <row r="35">
      <c r="A35" s="12" t="inlineStr">
        <is>
          <t>Custom GM</t>
        </is>
      </c>
      <c r="B35" s="19">
        <f>SUM(C35:N35)</f>
        <v/>
      </c>
      <c r="C35" s="20">
        <f>C26*$E$7</f>
        <v/>
      </c>
      <c r="D35" s="20">
        <f>D26*$E$7</f>
        <v/>
      </c>
      <c r="E35" s="20">
        <f>E26*$E$7</f>
        <v/>
      </c>
      <c r="F35" s="20">
        <f>F26*$E$7</f>
        <v/>
      </c>
      <c r="G35" s="20">
        <f>G26*$E$7</f>
        <v/>
      </c>
      <c r="H35" s="20">
        <f>H26*$E$7</f>
        <v/>
      </c>
      <c r="I35" s="20">
        <f>I26*$E$7</f>
        <v/>
      </c>
      <c r="J35" s="20">
        <f>J26*$E$7</f>
        <v/>
      </c>
      <c r="K35" s="20">
        <f>K26*$E$7</f>
        <v/>
      </c>
      <c r="L35" s="20">
        <f>L26*$E$7</f>
        <v/>
      </c>
      <c r="M35" s="20">
        <f>M26*$E$7</f>
        <v/>
      </c>
      <c r="N35" s="20">
        <f>N26*$E$7</f>
        <v/>
      </c>
      <c r="O35" s="20">
        <f>O26*$E$7</f>
        <v/>
      </c>
      <c r="P35" s="20">
        <f>P26*$E$7</f>
        <v/>
      </c>
      <c r="Q35" s="20">
        <f>Q26*$E$7</f>
        <v/>
      </c>
      <c r="R35" s="20">
        <f>R26*$E$7</f>
        <v/>
      </c>
      <c r="S35" s="20">
        <f>S26*$E$7</f>
        <v/>
      </c>
      <c r="T35" s="20">
        <f>T26*$E$7</f>
        <v/>
      </c>
      <c r="U35" s="20">
        <f>U26*$E$7</f>
        <v/>
      </c>
      <c r="V35" s="20">
        <f>V26*$E$7</f>
        <v/>
      </c>
      <c r="W35" s="20">
        <f>W26*$E$7</f>
        <v/>
      </c>
      <c r="X35" s="20">
        <f>X26*$E$7</f>
        <v/>
      </c>
      <c r="Y35" s="20">
        <f>Y26*$E$7</f>
        <v/>
      </c>
      <c r="Z35" s="20">
        <f>Z26*$E$7</f>
        <v/>
      </c>
      <c r="AA35" s="20">
        <f>AA26*$E$7</f>
        <v/>
      </c>
    </row>
    <row r="36">
      <c r="A36" s="12" t="inlineStr">
        <is>
          <t>Vela GM</t>
        </is>
      </c>
      <c r="B36" s="19">
        <f>SUM(C36:N36)</f>
        <v/>
      </c>
      <c r="C36" s="20">
        <f>C27*$E$8</f>
        <v/>
      </c>
      <c r="D36" s="20">
        <f>D27*$E$8</f>
        <v/>
      </c>
      <c r="E36" s="20">
        <f>E27*$E$8</f>
        <v/>
      </c>
      <c r="F36" s="20">
        <f>F27*$E$8</f>
        <v/>
      </c>
      <c r="G36" s="20">
        <f>G27*$E$8</f>
        <v/>
      </c>
      <c r="H36" s="20">
        <f>H27*$E$8</f>
        <v/>
      </c>
      <c r="I36" s="20">
        <f>I27*$E$8</f>
        <v/>
      </c>
      <c r="J36" s="20">
        <f>J27*$E$8</f>
        <v/>
      </c>
      <c r="K36" s="20">
        <f>K27*$E$8</f>
        <v/>
      </c>
      <c r="L36" s="20">
        <f>L27*$E$8</f>
        <v/>
      </c>
      <c r="M36" s="20">
        <f>M27*$E$8</f>
        <v/>
      </c>
      <c r="N36" s="20">
        <f>N27*$E$8</f>
        <v/>
      </c>
      <c r="O36" s="20">
        <f>O27*$E$8</f>
        <v/>
      </c>
      <c r="P36" s="20">
        <f>P27*$E$8</f>
        <v/>
      </c>
      <c r="Q36" s="20">
        <f>Q27*$E$8</f>
        <v/>
      </c>
      <c r="R36" s="20">
        <f>R27*$E$8</f>
        <v/>
      </c>
      <c r="S36" s="20">
        <f>S27*$E$8</f>
        <v/>
      </c>
      <c r="T36" s="20">
        <f>T27*$E$8</f>
        <v/>
      </c>
      <c r="U36" s="20">
        <f>U27*$E$8</f>
        <v/>
      </c>
      <c r="V36" s="20">
        <f>V27*$E$8</f>
        <v/>
      </c>
      <c r="W36" s="20">
        <f>W27*$E$8</f>
        <v/>
      </c>
      <c r="X36" s="20">
        <f>X27*$E$8</f>
        <v/>
      </c>
      <c r="Y36" s="20">
        <f>Y27*$E$8</f>
        <v/>
      </c>
      <c r="Z36" s="20">
        <f>Z27*$E$8</f>
        <v/>
      </c>
      <c r="AA36" s="20">
        <f>AA27*$E$8</f>
        <v/>
      </c>
    </row>
    <row r="37">
      <c r="A37" s="12" t="inlineStr">
        <is>
          <t>Service GM</t>
        </is>
      </c>
      <c r="B37" s="19">
        <f>SUM(C37:N37)</f>
        <v/>
      </c>
      <c r="C37" s="20">
        <f>C28*$E$9</f>
        <v/>
      </c>
      <c r="D37" s="20">
        <f>D28*$E$9</f>
        <v/>
      </c>
      <c r="E37" s="20">
        <f>E28*$E$9</f>
        <v/>
      </c>
      <c r="F37" s="20">
        <f>F28*$E$9</f>
        <v/>
      </c>
      <c r="G37" s="20">
        <f>G28*$E$9</f>
        <v/>
      </c>
      <c r="H37" s="20">
        <f>H28*$E$9</f>
        <v/>
      </c>
      <c r="I37" s="20">
        <f>I28*$E$9</f>
        <v/>
      </c>
      <c r="J37" s="20">
        <f>J28*$E$9</f>
        <v/>
      </c>
      <c r="K37" s="20">
        <f>K28*$E$9</f>
        <v/>
      </c>
      <c r="L37" s="20">
        <f>L28*$E$9</f>
        <v/>
      </c>
      <c r="M37" s="20">
        <f>M28*$E$9</f>
        <v/>
      </c>
      <c r="N37" s="20">
        <f>N28*$E$9</f>
        <v/>
      </c>
      <c r="O37" s="20">
        <f>O28*$E$9</f>
        <v/>
      </c>
      <c r="P37" s="20">
        <f>P28*$E$9</f>
        <v/>
      </c>
      <c r="Q37" s="20">
        <f>Q28*$E$9</f>
        <v/>
      </c>
      <c r="R37" s="20">
        <f>R28*$E$9</f>
        <v/>
      </c>
      <c r="S37" s="20">
        <f>S28*$E$9</f>
        <v/>
      </c>
      <c r="T37" s="20">
        <f>T28*$E$9</f>
        <v/>
      </c>
      <c r="U37" s="20">
        <f>U28*$E$9</f>
        <v/>
      </c>
      <c r="V37" s="20">
        <f>V28*$E$9</f>
        <v/>
      </c>
      <c r="W37" s="20">
        <f>W28*$E$9</f>
        <v/>
      </c>
      <c r="X37" s="20">
        <f>X28*$E$9</f>
        <v/>
      </c>
      <c r="Y37" s="20">
        <f>Y28*$E$9</f>
        <v/>
      </c>
      <c r="Z37" s="20">
        <f>Z28*$E$9</f>
        <v/>
      </c>
      <c r="AA37" s="20">
        <f>AA28*$E$9</f>
        <v/>
      </c>
    </row>
    <row r="38">
      <c r="A38" s="12" t="inlineStr">
        <is>
          <t>Fees GM</t>
        </is>
      </c>
      <c r="B38" s="19">
        <f>SUM(C38:N38)</f>
        <v/>
      </c>
      <c r="C38" s="20">
        <f>C29*$E$10</f>
        <v/>
      </c>
      <c r="D38" s="20">
        <f>D29*$E$10</f>
        <v/>
      </c>
      <c r="E38" s="20">
        <f>E29*$E$10</f>
        <v/>
      </c>
      <c r="F38" s="20">
        <f>F29*$E$10</f>
        <v/>
      </c>
      <c r="G38" s="20">
        <f>G29*$E$10</f>
        <v/>
      </c>
      <c r="H38" s="20">
        <f>H29*$E$10</f>
        <v/>
      </c>
      <c r="I38" s="20">
        <f>I29*$E$10</f>
        <v/>
      </c>
      <c r="J38" s="20">
        <f>J29*$E$10</f>
        <v/>
      </c>
      <c r="K38" s="20">
        <f>K29*$E$10</f>
        <v/>
      </c>
      <c r="L38" s="20">
        <f>L29*$E$10</f>
        <v/>
      </c>
      <c r="M38" s="20">
        <f>M29*$E$10</f>
        <v/>
      </c>
      <c r="N38" s="20">
        <f>N29*$E$10</f>
        <v/>
      </c>
      <c r="O38" s="20">
        <f>O29*$E$10</f>
        <v/>
      </c>
      <c r="P38" s="20">
        <f>P29*$E$10</f>
        <v/>
      </c>
      <c r="Q38" s="20">
        <f>Q29*$E$10</f>
        <v/>
      </c>
      <c r="R38" s="20">
        <f>R29*$E$10</f>
        <v/>
      </c>
      <c r="S38" s="20">
        <f>S29*$E$10</f>
        <v/>
      </c>
      <c r="T38" s="20">
        <f>T29*$E$10</f>
        <v/>
      </c>
      <c r="U38" s="20">
        <f>U29*$E$10</f>
        <v/>
      </c>
      <c r="V38" s="20">
        <f>V29*$E$10</f>
        <v/>
      </c>
      <c r="W38" s="20">
        <f>W29*$E$10</f>
        <v/>
      </c>
      <c r="X38" s="20">
        <f>X29*$E$10</f>
        <v/>
      </c>
      <c r="Y38" s="20">
        <f>Y29*$E$10</f>
        <v/>
      </c>
      <c r="Z38" s="20">
        <f>Z29*$E$10</f>
        <v/>
      </c>
      <c r="AA38" s="20">
        <f>AA29*$E$10</f>
        <v/>
      </c>
    </row>
    <row r="39">
      <c r="A39" s="21" t="inlineStr">
        <is>
          <t>TOTAL GROSS MARGIN</t>
        </is>
      </c>
      <c r="B39" s="19">
        <f>SUM(C39:N39)</f>
        <v/>
      </c>
      <c r="C39" s="22">
        <f>C33+C34+C35+C36+C37+C38</f>
        <v/>
      </c>
      <c r="D39" s="22">
        <f>D33+D34+D35+D36+D37+D38</f>
        <v/>
      </c>
      <c r="E39" s="22">
        <f>E33+E34+E35+E36+E37+E38</f>
        <v/>
      </c>
      <c r="F39" s="22">
        <f>F33+F34+F35+F36+F37+F38</f>
        <v/>
      </c>
      <c r="G39" s="22">
        <f>G33+G34+G35+G36+G37+G38</f>
        <v/>
      </c>
      <c r="H39" s="22">
        <f>H33+H34+H35+H36+H37+H38</f>
        <v/>
      </c>
      <c r="I39" s="22">
        <f>I33+I34+I35+I36+I37+I38</f>
        <v/>
      </c>
      <c r="J39" s="22">
        <f>J33+J34+J35+J36+J37+J38</f>
        <v/>
      </c>
      <c r="K39" s="22">
        <f>K33+K34+K35+K36+K37+K38</f>
        <v/>
      </c>
      <c r="L39" s="22">
        <f>L33+L34+L35+L36+L37+L38</f>
        <v/>
      </c>
      <c r="M39" s="22">
        <f>M33+M34+M35+M36+M37+M38</f>
        <v/>
      </c>
      <c r="N39" s="22">
        <f>N33+N34+N35+N36+N37+N38</f>
        <v/>
      </c>
      <c r="O39" s="22">
        <f>O33+O34+O35+O36+O37+O38</f>
        <v/>
      </c>
      <c r="P39" s="22">
        <f>P33+P34+P35+P36+P37+P38</f>
        <v/>
      </c>
      <c r="Q39" s="22">
        <f>Q33+Q34+Q35+Q36+Q37+Q38</f>
        <v/>
      </c>
      <c r="R39" s="22">
        <f>R33+R34+R35+R36+R37+R38</f>
        <v/>
      </c>
      <c r="S39" s="22">
        <f>S33+S34+S35+S36+S37+S38</f>
        <v/>
      </c>
      <c r="T39" s="22">
        <f>T33+T34+T35+T36+T37+T38</f>
        <v/>
      </c>
      <c r="U39" s="22">
        <f>U33+U34+U35+U36+U37+U38</f>
        <v/>
      </c>
      <c r="V39" s="22">
        <f>V33+V34+V35+V36+V37+V38</f>
        <v/>
      </c>
      <c r="W39" s="22">
        <f>W33+W34+W35+W36+W37+W38</f>
        <v/>
      </c>
      <c r="X39" s="22">
        <f>X33+X34+X35+X36+X37+X38</f>
        <v/>
      </c>
      <c r="Y39" s="22">
        <f>Y33+Y34+Y35+Y36+Y37+Y38</f>
        <v/>
      </c>
      <c r="Z39" s="22">
        <f>Z33+Z34+Z35+Z36+Z37+Z38</f>
        <v/>
      </c>
      <c r="AA39" s="23">
        <f>AA33+AA34+AA35+AA36+AA37+AA38</f>
        <v/>
      </c>
    </row>
    <row r="40">
      <c r="A40" s="12" t="inlineStr">
        <is>
          <t>GM %</t>
        </is>
      </c>
      <c r="B40" s="24">
        <f>B39/B30</f>
        <v/>
      </c>
      <c r="C40" s="25">
        <f>IF(C30=0,0,C39/C30)</f>
        <v/>
      </c>
      <c r="D40" s="25">
        <f>IF(D30=0,0,D39/D30)</f>
        <v/>
      </c>
      <c r="E40" s="25">
        <f>IF(E30=0,0,E39/E30)</f>
        <v/>
      </c>
      <c r="F40" s="25">
        <f>IF(F30=0,0,F39/F30)</f>
        <v/>
      </c>
      <c r="G40" s="25">
        <f>IF(G30=0,0,G39/G30)</f>
        <v/>
      </c>
      <c r="H40" s="25">
        <f>IF(H30=0,0,H39/H30)</f>
        <v/>
      </c>
      <c r="I40" s="25">
        <f>IF(I30=0,0,I39/I30)</f>
        <v/>
      </c>
      <c r="J40" s="25">
        <f>IF(J30=0,0,J39/J30)</f>
        <v/>
      </c>
      <c r="K40" s="25">
        <f>IF(K30=0,0,K39/K30)</f>
        <v/>
      </c>
      <c r="L40" s="25">
        <f>IF(L30=0,0,L39/L30)</f>
        <v/>
      </c>
      <c r="M40" s="25">
        <f>IF(M30=0,0,M39/M30)</f>
        <v/>
      </c>
      <c r="N40" s="25">
        <f>IF(N30=0,0,N39/N30)</f>
        <v/>
      </c>
      <c r="O40" s="25">
        <f>IF(O30=0,0,O39/O30)</f>
        <v/>
      </c>
      <c r="P40" s="25">
        <f>IF(P30=0,0,P39/P30)</f>
        <v/>
      </c>
      <c r="Q40" s="25">
        <f>IF(Q30=0,0,Q39/Q30)</f>
        <v/>
      </c>
      <c r="R40" s="25">
        <f>IF(R30=0,0,R39/R30)</f>
        <v/>
      </c>
      <c r="S40" s="25">
        <f>IF(S30=0,0,S39/S30)</f>
        <v/>
      </c>
      <c r="T40" s="25">
        <f>IF(T30=0,0,T39/T30)</f>
        <v/>
      </c>
      <c r="U40" s="25">
        <f>IF(U30=0,0,U39/U30)</f>
        <v/>
      </c>
      <c r="V40" s="25">
        <f>IF(V30=0,0,V39/V30)</f>
        <v/>
      </c>
      <c r="W40" s="25">
        <f>IF(W30=0,0,W39/W30)</f>
        <v/>
      </c>
      <c r="X40" s="25">
        <f>IF(X30=0,0,X39/X30)</f>
        <v/>
      </c>
      <c r="Y40" s="25">
        <f>IF(Y30=0,0,Y39/Y30)</f>
        <v/>
      </c>
      <c r="Z40" s="25">
        <f>IF(Z30=0,0,Z39/Z30)</f>
        <v/>
      </c>
      <c r="AA40" s="25">
        <f>AA39/AA30</f>
        <v/>
      </c>
    </row>
    <row r="42">
      <c r="A42" s="11" t="inlineStr">
        <is>
          <t>OPERATING EXPENSES (editable)</t>
        </is>
      </c>
    </row>
    <row r="43">
      <c r="A43" s="12" t="inlineStr">
        <is>
          <t>Marketing</t>
        </is>
      </c>
      <c r="C43" s="26" t="n">
        <v>500</v>
      </c>
      <c r="D43" s="26" t="n">
        <v>500</v>
      </c>
      <c r="E43" s="26" t="n">
        <v>500</v>
      </c>
      <c r="F43" s="26" t="n">
        <v>2500</v>
      </c>
      <c r="G43" s="26" t="n">
        <v>2500</v>
      </c>
      <c r="H43" s="26" t="n">
        <v>2500</v>
      </c>
      <c r="I43" s="26" t="n">
        <v>2500</v>
      </c>
      <c r="J43" s="26" t="n">
        <v>3000</v>
      </c>
      <c r="K43" s="26" t="n">
        <v>3000</v>
      </c>
      <c r="L43" s="26" t="n">
        <v>4000</v>
      </c>
      <c r="M43" s="26" t="n">
        <v>4000</v>
      </c>
      <c r="N43" s="26" t="n">
        <v>4000</v>
      </c>
      <c r="O43" s="26" t="n">
        <v>4500</v>
      </c>
      <c r="P43" s="26" t="n">
        <v>4500</v>
      </c>
      <c r="Q43" s="26" t="n">
        <v>5000</v>
      </c>
      <c r="R43" s="26" t="n">
        <v>5000</v>
      </c>
      <c r="S43" s="26" t="n">
        <v>5000</v>
      </c>
      <c r="T43" s="26" t="n">
        <v>5500</v>
      </c>
      <c r="U43" s="26" t="n">
        <v>5500</v>
      </c>
      <c r="V43" s="26" t="n">
        <v>5500</v>
      </c>
      <c r="W43" s="26" t="n">
        <v>6000</v>
      </c>
      <c r="X43" s="26" t="n">
        <v>6000</v>
      </c>
      <c r="Y43" s="26" t="n">
        <v>6000</v>
      </c>
      <c r="Z43" s="26" t="n">
        <v>6000</v>
      </c>
    </row>
    <row r="44">
      <c r="A44" s="12" t="inlineStr">
        <is>
          <t>Owner draw</t>
        </is>
      </c>
      <c r="C44" s="26" t="n">
        <v>3500</v>
      </c>
      <c r="D44" s="26" t="n">
        <v>3500</v>
      </c>
      <c r="E44" s="26" t="n">
        <v>3500</v>
      </c>
      <c r="F44" s="26" t="n">
        <v>3500</v>
      </c>
      <c r="G44" s="26" t="n">
        <v>3500</v>
      </c>
      <c r="H44" s="26" t="n">
        <v>3500</v>
      </c>
      <c r="I44" s="26" t="n">
        <v>6000</v>
      </c>
      <c r="J44" s="26" t="n">
        <v>6000</v>
      </c>
      <c r="K44" s="26" t="n">
        <v>6000</v>
      </c>
      <c r="L44" s="26" t="n">
        <v>6000</v>
      </c>
      <c r="M44" s="26" t="n">
        <v>6000</v>
      </c>
      <c r="N44" s="26" t="n">
        <v>6000</v>
      </c>
      <c r="O44" s="26" t="n">
        <v>7000</v>
      </c>
      <c r="P44" s="26" t="n">
        <v>7000</v>
      </c>
      <c r="Q44" s="26" t="n">
        <v>7000</v>
      </c>
      <c r="R44" s="26" t="n">
        <v>7000</v>
      </c>
      <c r="S44" s="26" t="n">
        <v>7000</v>
      </c>
      <c r="T44" s="26" t="n">
        <v>7000</v>
      </c>
      <c r="U44" s="26" t="n">
        <v>7000</v>
      </c>
      <c r="V44" s="26" t="n">
        <v>7000</v>
      </c>
      <c r="W44" s="26" t="n">
        <v>7000</v>
      </c>
      <c r="X44" s="26" t="n">
        <v>7000</v>
      </c>
      <c r="Y44" s="26" t="n">
        <v>7000</v>
      </c>
      <c r="Z44" s="26" t="n">
        <v>7000</v>
      </c>
    </row>
    <row r="45">
      <c r="A45" s="12" t="inlineStr">
        <is>
          <t>Staff payroll (non-COGS)</t>
        </is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3500</v>
      </c>
      <c r="L45" s="26" t="n">
        <v>3500</v>
      </c>
      <c r="M45" s="26" t="n">
        <v>3500</v>
      </c>
      <c r="N45" s="26" t="n">
        <v>3500</v>
      </c>
      <c r="O45" s="26" t="n">
        <v>3500</v>
      </c>
      <c r="P45" s="26" t="n">
        <v>3500</v>
      </c>
      <c r="Q45" s="26" t="n">
        <v>9500</v>
      </c>
      <c r="R45" s="26" t="n">
        <v>9500</v>
      </c>
      <c r="S45" s="26" t="n">
        <v>9500</v>
      </c>
      <c r="T45" s="26" t="n">
        <v>9500</v>
      </c>
      <c r="U45" s="26" t="n">
        <v>9500</v>
      </c>
      <c r="V45" s="26" t="n">
        <v>14000</v>
      </c>
      <c r="W45" s="26" t="n">
        <v>14000</v>
      </c>
      <c r="X45" s="26" t="n">
        <v>14000</v>
      </c>
      <c r="Y45" s="26" t="n">
        <v>14000</v>
      </c>
      <c r="Z45" s="26" t="n">
        <v>14000</v>
      </c>
    </row>
    <row r="46">
      <c r="A46" s="12" t="inlineStr">
        <is>
          <t>Facility + storage</t>
        </is>
      </c>
      <c r="C46" s="26" t="n">
        <v>400</v>
      </c>
      <c r="D46" s="26" t="n">
        <v>400</v>
      </c>
      <c r="E46" s="26" t="n">
        <v>400</v>
      </c>
      <c r="F46" s="26" t="n">
        <v>400</v>
      </c>
      <c r="G46" s="26" t="n">
        <v>400</v>
      </c>
      <c r="H46" s="26" t="n">
        <v>400</v>
      </c>
      <c r="I46" s="26" t="n">
        <v>400</v>
      </c>
      <c r="J46" s="26" t="n">
        <v>400</v>
      </c>
      <c r="K46" s="26" t="n">
        <v>2000</v>
      </c>
      <c r="L46" s="26" t="n">
        <v>2000</v>
      </c>
      <c r="M46" s="26" t="n">
        <v>2000</v>
      </c>
      <c r="N46" s="26" t="n">
        <v>2000</v>
      </c>
      <c r="O46" s="26" t="n">
        <v>2000</v>
      </c>
      <c r="P46" s="26" t="n">
        <v>2000</v>
      </c>
      <c r="Q46" s="26" t="n">
        <v>2000</v>
      </c>
      <c r="R46" s="26" t="n">
        <v>2000</v>
      </c>
      <c r="S46" s="26" t="n">
        <v>2000</v>
      </c>
      <c r="T46" s="26" t="n">
        <v>2000</v>
      </c>
      <c r="U46" s="26" t="n">
        <v>2000</v>
      </c>
      <c r="V46" s="26" t="n">
        <v>2000</v>
      </c>
      <c r="W46" s="26" t="n">
        <v>2000</v>
      </c>
      <c r="X46" s="26" t="n">
        <v>2000</v>
      </c>
      <c r="Y46" s="26" t="n">
        <v>2000</v>
      </c>
      <c r="Z46" s="26" t="n">
        <v>2000</v>
      </c>
    </row>
    <row r="47">
      <c r="A47" s="12" t="inlineStr">
        <is>
          <t>Insurance</t>
        </is>
      </c>
      <c r="C47" s="26" t="n">
        <v>900</v>
      </c>
      <c r="D47" s="26" t="n">
        <v>900</v>
      </c>
      <c r="E47" s="26" t="n">
        <v>900</v>
      </c>
      <c r="F47" s="26" t="n">
        <v>900</v>
      </c>
      <c r="G47" s="26" t="n">
        <v>900</v>
      </c>
      <c r="H47" s="26" t="n">
        <v>900</v>
      </c>
      <c r="I47" s="26" t="n">
        <v>900</v>
      </c>
      <c r="J47" s="26" t="n">
        <v>900</v>
      </c>
      <c r="K47" s="26" t="n">
        <v>900</v>
      </c>
      <c r="L47" s="26" t="n">
        <v>900</v>
      </c>
      <c r="M47" s="26" t="n">
        <v>900</v>
      </c>
      <c r="N47" s="26" t="n">
        <v>900</v>
      </c>
      <c r="O47" s="26" t="n">
        <v>900</v>
      </c>
      <c r="P47" s="26" t="n">
        <v>900</v>
      </c>
      <c r="Q47" s="26" t="n">
        <v>900</v>
      </c>
      <c r="R47" s="26" t="n">
        <v>900</v>
      </c>
      <c r="S47" s="26" t="n">
        <v>900</v>
      </c>
      <c r="T47" s="26" t="n">
        <v>900</v>
      </c>
      <c r="U47" s="26" t="n">
        <v>900</v>
      </c>
      <c r="V47" s="26" t="n">
        <v>900</v>
      </c>
      <c r="W47" s="26" t="n">
        <v>900</v>
      </c>
      <c r="X47" s="26" t="n">
        <v>900</v>
      </c>
      <c r="Y47" s="26" t="n">
        <v>900</v>
      </c>
      <c r="Z47" s="26" t="n">
        <v>900</v>
      </c>
    </row>
    <row r="48">
      <c r="A48" s="12" t="inlineStr">
        <is>
          <t>Vehicle (loan+fuel+maint)</t>
        </is>
      </c>
      <c r="C48" s="26" t="n">
        <v>0</v>
      </c>
      <c r="D48" s="26" t="n">
        <v>650</v>
      </c>
      <c r="E48" s="26" t="n">
        <v>650</v>
      </c>
      <c r="F48" s="26" t="n">
        <v>650</v>
      </c>
      <c r="G48" s="26" t="n">
        <v>650</v>
      </c>
      <c r="H48" s="26" t="n">
        <v>650</v>
      </c>
      <c r="I48" s="26" t="n">
        <v>650</v>
      </c>
      <c r="J48" s="26" t="n">
        <v>650</v>
      </c>
      <c r="K48" s="26" t="n">
        <v>650</v>
      </c>
      <c r="L48" s="26" t="n">
        <v>650</v>
      </c>
      <c r="M48" s="26" t="n">
        <v>650</v>
      </c>
      <c r="N48" s="26" t="n">
        <v>650</v>
      </c>
      <c r="O48" s="26" t="n">
        <v>700</v>
      </c>
      <c r="P48" s="26" t="n">
        <v>700</v>
      </c>
      <c r="Q48" s="26" t="n">
        <v>700</v>
      </c>
      <c r="R48" s="26" t="n">
        <v>700</v>
      </c>
      <c r="S48" s="26" t="n">
        <v>700</v>
      </c>
      <c r="T48" s="26" t="n">
        <v>700</v>
      </c>
      <c r="U48" s="26" t="n">
        <v>700</v>
      </c>
      <c r="V48" s="26" t="n">
        <v>700</v>
      </c>
      <c r="W48" s="26" t="n">
        <v>700</v>
      </c>
      <c r="X48" s="26" t="n">
        <v>700</v>
      </c>
      <c r="Y48" s="26" t="n">
        <v>700</v>
      </c>
      <c r="Z48" s="26" t="n">
        <v>700</v>
      </c>
    </row>
    <row r="49">
      <c r="A49" s="12" t="inlineStr">
        <is>
          <t>Software/office/other</t>
        </is>
      </c>
      <c r="C49" s="26" t="n">
        <v>750</v>
      </c>
      <c r="D49" s="26" t="n">
        <v>750</v>
      </c>
      <c r="E49" s="26" t="n">
        <v>750</v>
      </c>
      <c r="F49" s="26" t="n">
        <v>750</v>
      </c>
      <c r="G49" s="26" t="n">
        <v>750</v>
      </c>
      <c r="H49" s="26" t="n">
        <v>750</v>
      </c>
      <c r="I49" s="26" t="n">
        <v>750</v>
      </c>
      <c r="J49" s="26" t="n">
        <v>750</v>
      </c>
      <c r="K49" s="26" t="n">
        <v>750</v>
      </c>
      <c r="L49" s="26" t="n">
        <v>750</v>
      </c>
      <c r="M49" s="26" t="n">
        <v>750</v>
      </c>
      <c r="N49" s="26" t="n">
        <v>750</v>
      </c>
      <c r="O49" s="26" t="n">
        <v>750</v>
      </c>
      <c r="P49" s="26" t="n">
        <v>750</v>
      </c>
      <c r="Q49" s="26" t="n">
        <v>750</v>
      </c>
      <c r="R49" s="26" t="n">
        <v>750</v>
      </c>
      <c r="S49" s="26" t="n">
        <v>750</v>
      </c>
      <c r="T49" s="26" t="n">
        <v>750</v>
      </c>
      <c r="U49" s="26" t="n">
        <v>750</v>
      </c>
      <c r="V49" s="26" t="n">
        <v>750</v>
      </c>
      <c r="W49" s="26" t="n">
        <v>750</v>
      </c>
      <c r="X49" s="26" t="n">
        <v>750</v>
      </c>
      <c r="Y49" s="26" t="n">
        <v>750</v>
      </c>
      <c r="Z49" s="26" t="n">
        <v>750</v>
      </c>
    </row>
    <row r="50">
      <c r="A50" s="12" t="inlineStr">
        <is>
          <t>ONE-TIME setup costs</t>
        </is>
      </c>
      <c r="C50" s="26" t="n">
        <v>12000</v>
      </c>
      <c r="D50" s="26" t="n">
        <v>14000</v>
      </c>
      <c r="E50" s="26" t="n">
        <v>14000</v>
      </c>
      <c r="F50" s="26" t="n">
        <v>6000</v>
      </c>
      <c r="G50" s="26" t="n">
        <v>3000</v>
      </c>
      <c r="H50" s="26" t="n">
        <v>0</v>
      </c>
      <c r="I50" s="26" t="n">
        <v>0</v>
      </c>
      <c r="J50" s="26" t="n">
        <v>0</v>
      </c>
      <c r="K50" s="26" t="n">
        <v>0</v>
      </c>
      <c r="L50" s="26" t="n">
        <v>0</v>
      </c>
      <c r="M50" s="26" t="n">
        <v>0</v>
      </c>
      <c r="N50" s="26" t="n">
        <v>0</v>
      </c>
      <c r="O50" s="26" t="n">
        <v>0</v>
      </c>
      <c r="P50" s="26" t="n">
        <v>0</v>
      </c>
      <c r="Q50" s="26" t="n">
        <v>0</v>
      </c>
      <c r="R50" s="26" t="n">
        <v>0</v>
      </c>
      <c r="S50" s="26" t="n">
        <v>0</v>
      </c>
      <c r="T50" s="26" t="n">
        <v>0</v>
      </c>
      <c r="U50" s="26" t="n">
        <v>0</v>
      </c>
      <c r="V50" s="26" t="n">
        <v>0</v>
      </c>
      <c r="W50" s="26" t="n">
        <v>0</v>
      </c>
      <c r="X50" s="26" t="n">
        <v>0</v>
      </c>
      <c r="Y50" s="26" t="n">
        <v>0</v>
      </c>
      <c r="Z50" s="26" t="n">
        <v>0</v>
      </c>
    </row>
    <row r="51">
      <c r="A51" s="21" t="inlineStr">
        <is>
          <t>TOTAL OPEX</t>
        </is>
      </c>
      <c r="B51" s="19">
        <f>SUM(C51:N51)</f>
        <v/>
      </c>
      <c r="C51" s="22">
        <f>C43+C44+C45+C46+C47+C48+C49+C50</f>
        <v/>
      </c>
      <c r="D51" s="22">
        <f>D43+D44+D45+D46+D47+D48+D49+D50</f>
        <v/>
      </c>
      <c r="E51" s="22">
        <f>E43+E44+E45+E46+E47+E48+E49+E50</f>
        <v/>
      </c>
      <c r="F51" s="22">
        <f>F43+F44+F45+F46+F47+F48+F49+F50</f>
        <v/>
      </c>
      <c r="G51" s="22">
        <f>G43+G44+G45+G46+G47+G48+G49+G50</f>
        <v/>
      </c>
      <c r="H51" s="22">
        <f>H43+H44+H45+H46+H47+H48+H49+H50</f>
        <v/>
      </c>
      <c r="I51" s="22">
        <f>I43+I44+I45+I46+I47+I48+I49+I50</f>
        <v/>
      </c>
      <c r="J51" s="22">
        <f>J43+J44+J45+J46+J47+J48+J49+J50</f>
        <v/>
      </c>
      <c r="K51" s="22">
        <f>K43+K44+K45+K46+K47+K48+K49+K50</f>
        <v/>
      </c>
      <c r="L51" s="22">
        <f>L43+L44+L45+L46+L47+L48+L49+L50</f>
        <v/>
      </c>
      <c r="M51" s="22">
        <f>M43+M44+M45+M46+M47+M48+M49+M50</f>
        <v/>
      </c>
      <c r="N51" s="22">
        <f>N43+N44+N45+N46+N47+N48+N49+N50</f>
        <v/>
      </c>
      <c r="O51" s="22">
        <f>O43+O44+O45+O46+O47+O48+O49+O50</f>
        <v/>
      </c>
      <c r="P51" s="22">
        <f>P43+P44+P45+P46+P47+P48+P49+P50</f>
        <v/>
      </c>
      <c r="Q51" s="22">
        <f>Q43+Q44+Q45+Q46+Q47+Q48+Q49+Q50</f>
        <v/>
      </c>
      <c r="R51" s="22">
        <f>R43+R44+R45+R46+R47+R48+R49+R50</f>
        <v/>
      </c>
      <c r="S51" s="22">
        <f>S43+S44+S45+S46+S47+S48+S49+S50</f>
        <v/>
      </c>
      <c r="T51" s="22">
        <f>T43+T44+T45+T46+T47+T48+T49+T50</f>
        <v/>
      </c>
      <c r="U51" s="22">
        <f>U43+U44+U45+U46+U47+U48+U49+U50</f>
        <v/>
      </c>
      <c r="V51" s="22">
        <f>V43+V44+V45+V46+V47+V48+V49+V50</f>
        <v/>
      </c>
      <c r="W51" s="22">
        <f>W43+W44+W45+W46+W47+W48+W49+W50</f>
        <v/>
      </c>
      <c r="X51" s="22">
        <f>X43+X44+X45+X46+X47+X48+X49+X50</f>
        <v/>
      </c>
      <c r="Y51" s="22">
        <f>Y43+Y44+Y45+Y46+Y47+Y48+Y49+Y50</f>
        <v/>
      </c>
      <c r="Z51" s="22">
        <f>Z43+Z44+Z45+Z46+Z47+Z48+Z49+Z50</f>
        <v/>
      </c>
      <c r="AA51" s="23">
        <f>SUM(O51:Z51)*1.35</f>
        <v/>
      </c>
    </row>
    <row r="53">
      <c r="A53" s="11" t="inlineStr">
        <is>
          <t>CASH VIEW</t>
        </is>
      </c>
    </row>
    <row r="54">
      <c r="A54" s="21" t="inlineStr">
        <is>
          <t>Operating profit (GM − opex)</t>
        </is>
      </c>
      <c r="B54" s="19">
        <f>SUM(C54:N54)</f>
        <v/>
      </c>
      <c r="C54" s="22">
        <f>C39-C51</f>
        <v/>
      </c>
      <c r="D54" s="22">
        <f>D39-D51</f>
        <v/>
      </c>
      <c r="E54" s="22">
        <f>E39-E51</f>
        <v/>
      </c>
      <c r="F54" s="22">
        <f>F39-F51</f>
        <v/>
      </c>
      <c r="G54" s="22">
        <f>G39-G51</f>
        <v/>
      </c>
      <c r="H54" s="22">
        <f>H39-H51</f>
        <v/>
      </c>
      <c r="I54" s="22">
        <f>I39-I51</f>
        <v/>
      </c>
      <c r="J54" s="22">
        <f>J39-J51</f>
        <v/>
      </c>
      <c r="K54" s="22">
        <f>K39-K51</f>
        <v/>
      </c>
      <c r="L54" s="22">
        <f>L39-L51</f>
        <v/>
      </c>
      <c r="M54" s="22">
        <f>M39-M51</f>
        <v/>
      </c>
      <c r="N54" s="22">
        <f>N39-N51</f>
        <v/>
      </c>
      <c r="O54" s="22">
        <f>O39-O51</f>
        <v/>
      </c>
      <c r="P54" s="22">
        <f>P39-P51</f>
        <v/>
      </c>
      <c r="Q54" s="22">
        <f>Q39-Q51</f>
        <v/>
      </c>
      <c r="R54" s="22">
        <f>R39-R51</f>
        <v/>
      </c>
      <c r="S54" s="22">
        <f>S39-S51</f>
        <v/>
      </c>
      <c r="T54" s="22">
        <f>T39-T51</f>
        <v/>
      </c>
      <c r="U54" s="22">
        <f>U39-U51</f>
        <v/>
      </c>
      <c r="V54" s="22">
        <f>V39-V51</f>
        <v/>
      </c>
      <c r="W54" s="22">
        <f>W39-W51</f>
        <v/>
      </c>
      <c r="X54" s="22">
        <f>X39-X51</f>
        <v/>
      </c>
      <c r="Y54" s="22">
        <f>Y39-Y51</f>
        <v/>
      </c>
      <c r="Z54" s="22">
        <f>Z39-Z51</f>
        <v/>
      </c>
      <c r="AA54" s="23">
        <f>AA39-AA51</f>
        <v/>
      </c>
    </row>
    <row r="55">
      <c r="A55" s="12" t="inlineStr">
        <is>
          <t>Funding inflows (owner/SBA/etc.)</t>
        </is>
      </c>
      <c r="C55" s="26" t="n">
        <v>18500</v>
      </c>
      <c r="D55" s="26" t="n">
        <v>0</v>
      </c>
      <c r="E55" s="26" t="n">
        <v>50000</v>
      </c>
      <c r="F55" s="26" t="n">
        <v>0</v>
      </c>
      <c r="G55" s="26" t="n">
        <v>0</v>
      </c>
      <c r="H55" s="26" t="n">
        <v>0</v>
      </c>
      <c r="I55" s="26" t="n">
        <v>0</v>
      </c>
      <c r="J55" s="26" t="n">
        <v>0</v>
      </c>
      <c r="K55" s="26" t="n">
        <v>100000</v>
      </c>
      <c r="L55" s="26" t="n">
        <v>0</v>
      </c>
      <c r="M55" s="26" t="n">
        <v>0</v>
      </c>
      <c r="N55" s="26" t="n">
        <v>0</v>
      </c>
      <c r="O55" s="26" t="n">
        <v>0</v>
      </c>
      <c r="P55" s="26" t="n">
        <v>0</v>
      </c>
      <c r="Q55" s="26" t="n">
        <v>0</v>
      </c>
      <c r="R55" s="26" t="n">
        <v>0</v>
      </c>
      <c r="S55" s="26" t="n">
        <v>0</v>
      </c>
      <c r="T55" s="26" t="n">
        <v>0</v>
      </c>
      <c r="U55" s="26" t="n">
        <v>0</v>
      </c>
      <c r="V55" s="26" t="n">
        <v>0</v>
      </c>
      <c r="W55" s="26" t="n">
        <v>0</v>
      </c>
      <c r="X55" s="26" t="n">
        <v>0</v>
      </c>
      <c r="Y55" s="26" t="n">
        <v>0</v>
      </c>
      <c r="Z55" s="26" t="n">
        <v>0</v>
      </c>
    </row>
    <row r="56">
      <c r="A56" s="21" t="inlineStr">
        <is>
          <t>CUMULATIVE CASH</t>
        </is>
      </c>
      <c r="C56" s="22">
        <f>C54+C55</f>
        <v/>
      </c>
      <c r="D56" s="22">
        <f>C56+D54+D55</f>
        <v/>
      </c>
      <c r="E56" s="22">
        <f>D56+E54+E55</f>
        <v/>
      </c>
      <c r="F56" s="22">
        <f>E56+F54+F55</f>
        <v/>
      </c>
      <c r="G56" s="22">
        <f>F56+G54+G55</f>
        <v/>
      </c>
      <c r="H56" s="22">
        <f>G56+H54+H55</f>
        <v/>
      </c>
      <c r="I56" s="22">
        <f>H56+I54+I55</f>
        <v/>
      </c>
      <c r="J56" s="22">
        <f>I56+J54+J55</f>
        <v/>
      </c>
      <c r="K56" s="22">
        <f>J56+K54+K55</f>
        <v/>
      </c>
      <c r="L56" s="22">
        <f>K56+L54+L55</f>
        <v/>
      </c>
      <c r="M56" s="22">
        <f>L56+M54+M55</f>
        <v/>
      </c>
      <c r="N56" s="22">
        <f>M56+N54+N55</f>
        <v/>
      </c>
      <c r="O56" s="22">
        <f>N56+O54+O55</f>
        <v/>
      </c>
      <c r="P56" s="22">
        <f>O56+P54+P55</f>
        <v/>
      </c>
      <c r="Q56" s="22">
        <f>P56+Q54+Q55</f>
        <v/>
      </c>
      <c r="R56" s="22">
        <f>Q56+R54+R55</f>
        <v/>
      </c>
      <c r="S56" s="22">
        <f>R56+S54+S55</f>
        <v/>
      </c>
      <c r="T56" s="22">
        <f>S56+T54+T55</f>
        <v/>
      </c>
      <c r="U56" s="22">
        <f>T56+U54+U55</f>
        <v/>
      </c>
      <c r="V56" s="22">
        <f>U56+V54+V55</f>
        <v/>
      </c>
      <c r="W56" s="22">
        <f>V56+W54+W55</f>
        <v/>
      </c>
      <c r="X56" s="22">
        <f>W56+X54+X55</f>
        <v/>
      </c>
      <c r="Y56" s="22">
        <f>X56+Y54+Y55</f>
        <v/>
      </c>
      <c r="Z56" s="22">
        <f>Y56+Z54+Z55</f>
        <v/>
      </c>
    </row>
    <row r="59">
      <c r="A59" s="11" t="inlineStr">
        <is>
          <t>SCENARIOS — HOW TO STRESS THIS MODEL</t>
        </is>
      </c>
    </row>
    <row r="60">
      <c r="A60" s="10" t="inlineStr">
        <is>
          <t>• Downside: cut every volume row 40% and delay the 7(a) row to $0 — cumulative cash must stay &gt;$0. If not, cut the M9 hire and owner draw first (they're yellow for a reason).</t>
        </is>
      </c>
    </row>
    <row r="61">
      <c r="A61" s="10" t="inlineStr">
        <is>
          <t>• Upside: retrofit ramp +50% forces the journeyman hire 3 months earlier — check payroll row before celebrating.</t>
        </is>
      </c>
    </row>
    <row r="62">
      <c r="A62" s="10" t="inlineStr">
        <is>
          <t>• Rule: re-forecast on the 1st of every month with actuals; variance &gt;20% on any stream two months running = strategy conversation, not a spreadsheet fix.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40" customWidth="1" min="3" max="3"/>
    <col width="30" customWidth="1" min="4" max="4"/>
  </cols>
  <sheetData>
    <row r="1" ht="26" customHeight="1">
      <c r="A1" s="1" t="inlineStr">
        <is>
          <t>6 · DESIGNER NETWORK PLAN — THE SUPPLY SIDE</t>
        </is>
      </c>
    </row>
    <row r="2">
      <c r="A2" s="2" t="inlineStr">
        <is>
          <t>The network solves geography and licensing without payroll, and turns the AI Studio into a two-sided funnel. Concierge-first (hand-matched), honest about being new. Site infrastructure already live: /designers page, referral + application pipelines in Supabase.</t>
        </is>
      </c>
    </row>
    <row r="4">
      <c r="A4" s="3" t="inlineStr">
        <is>
          <t>6.1 VALUE EXCHANGE</t>
        </is>
      </c>
      <c r="B4" s="4" t="n"/>
      <c r="C4" s="4" t="n"/>
      <c r="D4" s="4" t="n"/>
    </row>
    <row r="5">
      <c r="A5" s="7" t="inlineStr">
        <is>
          <t>Designers give us</t>
        </is>
      </c>
      <c r="B5" s="7" t="inlineStr">
        <is>
          <t>We give designers</t>
        </is>
      </c>
    </row>
    <row r="6">
      <c r="A6" s="6" t="inlineStr">
        <is>
          <t>Local delivery capacity in their metro</t>
        </is>
      </c>
      <c r="B6" s="6" t="inlineStr">
        <is>
          <t>Qualified, pre-scoped leads (room, fixture direction, budget band from AI Studio) — free during founding period</t>
        </is>
      </c>
    </row>
    <row r="7">
      <c r="A7" s="8" t="inlineStr">
        <is>
          <t>Spec loyalty to Vela + catalog</t>
        </is>
      </c>
      <c r="B7" s="8" t="inlineStr">
        <is>
          <t>Trade pricing: 25% off list (we retain ~15–20% margin)</t>
        </is>
      </c>
    </row>
    <row r="8">
      <c r="A8" s="6" t="inlineStr">
        <is>
          <t>Case studies + co-branded content</t>
        </is>
      </c>
      <c r="B8" s="6" t="inlineStr">
        <is>
          <t>Fabrication + restoration bench behind their designs</t>
        </is>
      </c>
    </row>
    <row r="9">
      <c r="A9" s="8" t="inlineStr">
        <is>
          <t>A referral fee on projects we source later (10%, post-founding)</t>
        </is>
      </c>
      <c r="B9" s="8" t="inlineStr">
        <is>
          <t>Retrofit program support: audits, financial analysis, rebate filing under their brand if desired</t>
        </is>
      </c>
    </row>
    <row r="11">
      <c r="A11" s="3" t="inlineStr">
        <is>
          <t>6.2 RECRUITING FUNNEL — 8 FOUNDING MEMBERS BY DEC 2026</t>
        </is>
      </c>
      <c r="B11" s="4" t="n"/>
      <c r="C11" s="4" t="n"/>
      <c r="D11" s="4" t="n"/>
    </row>
    <row r="12">
      <c r="A12" s="7" t="inlineStr">
        <is>
          <t>Stage</t>
        </is>
      </c>
      <c r="B12" s="7" t="inlineStr">
        <is>
          <t>Target #</t>
        </is>
      </c>
      <c r="C12" s="7" t="inlineStr">
        <is>
          <t>How</t>
        </is>
      </c>
    </row>
    <row r="13">
      <c r="A13" s="6" t="inlineStr">
        <is>
          <t>Prospect list</t>
        </is>
      </c>
      <c r="B13" s="6" t="inlineStr">
        <is>
          <t>50</t>
        </is>
      </c>
      <c r="C13" s="6" t="inlineStr">
        <is>
          <t>IALD + ALA member directories · IES local section rosters · Instagram/Houzz search ('lighting designer &lt;metro&gt;') · showroom staff going independent</t>
        </is>
      </c>
    </row>
    <row r="14">
      <c r="A14" s="8" t="inlineStr">
        <is>
          <t>Personal outreach</t>
        </is>
      </c>
      <c r="B14" s="8" t="inlineStr">
        <is>
          <t>50</t>
        </is>
      </c>
      <c r="C14" s="8" t="inlineStr">
        <is>
          <t>Individual notes referencing THEIR work (never blast); offer: founding member, zero fees, shape the terms</t>
        </is>
      </c>
    </row>
    <row r="15">
      <c r="A15" s="6" t="inlineStr">
        <is>
          <t>Discovery calls</t>
        </is>
      </c>
      <c r="B15" s="6" t="inlineStr">
        <is>
          <t>20</t>
        </is>
      </c>
      <c r="C15" s="6" t="inlineStr">
        <is>
          <t>30 min: their pipeline, their gaps, our support menu</t>
        </is>
      </c>
    </row>
    <row r="16">
      <c r="A16" s="8" t="inlineStr">
        <is>
          <t>Applications</t>
        </is>
      </c>
      <c r="B16" s="8" t="inlineStr">
        <is>
          <t>12</t>
        </is>
      </c>
      <c r="C16" s="8" t="inlineStr">
        <is>
          <t>Via /designers form (portfolio, region, specialties)</t>
        </is>
      </c>
    </row>
    <row r="17">
      <c r="A17" s="6" t="inlineStr">
        <is>
          <t>Vetted + signed</t>
        </is>
      </c>
      <c r="B17" s="6" t="inlineStr">
        <is>
          <t>8</t>
        </is>
      </c>
      <c r="C17" s="6" t="inlineStr">
        <is>
          <t>Rubric below + founding-member agreement</t>
        </is>
      </c>
    </row>
    <row r="19">
      <c r="A19" s="3" t="inlineStr">
        <is>
          <t>6.3 VETTING RUBRIC (score 1–5 each; ≥18 to join; no 1s)</t>
        </is>
      </c>
      <c r="B19" s="4" t="n"/>
      <c r="C19" s="4" t="n"/>
      <c r="D19" s="4" t="n"/>
    </row>
    <row r="20">
      <c r="A20" s="7" t="inlineStr">
        <is>
          <t>Criterion</t>
        </is>
      </c>
      <c r="B20" s="7" t="inlineStr">
        <is>
          <t>What good looks like</t>
        </is>
      </c>
    </row>
    <row r="21">
      <c r="A21" s="6" t="inlineStr">
        <is>
          <t>Portfolio quality</t>
        </is>
      </c>
      <c r="B21" s="6" t="inlineStr">
        <is>
          <t>Layered light, warm palettes, glare discipline — our aesthetic language</t>
        </is>
      </c>
    </row>
    <row r="22">
      <c r="A22" s="8" t="inlineStr">
        <is>
          <t>References</t>
        </is>
      </c>
      <c r="B22" s="8" t="inlineStr">
        <is>
          <t>2 client + 1 contractor reference, called personally</t>
        </is>
      </c>
    </row>
    <row r="23">
      <c r="A23" s="6" t="inlineStr">
        <is>
          <t>Professionalism</t>
        </is>
      </c>
      <c r="B23" s="6" t="inlineStr">
        <is>
          <t>Responds inside 2 business days; carries insurance; contracts in writing</t>
        </is>
      </c>
    </row>
    <row r="24">
      <c r="A24" s="8" t="inlineStr">
        <is>
          <t>Coverage &amp; capacity</t>
        </is>
      </c>
      <c r="B24" s="8" t="inlineStr">
        <is>
          <t>Serves a definable metro; can take ≥2 projects/quarter</t>
        </is>
      </c>
    </row>
    <row r="25">
      <c r="A25" s="6" t="inlineStr">
        <is>
          <t>Values fit</t>
        </is>
      </c>
      <c r="B25" s="6" t="inlineStr">
        <is>
          <t>Comfortable with honest claims culture; no spec-and-disappear artists</t>
        </is>
      </c>
    </row>
    <row r="27">
      <c r="A27" s="3" t="inlineStr">
        <is>
          <t>6.4 FOUNDING MEMBER TERMS (v1 — refine with first 3 signees)</t>
        </is>
      </c>
      <c r="B27" s="4" t="n"/>
      <c r="C27" s="4" t="n"/>
      <c r="D27" s="4" t="n"/>
    </row>
    <row r="28">
      <c r="A28" s="5" t="inlineStr">
        <is>
          <t>Term</t>
        </is>
      </c>
      <c r="B28" s="6" t="inlineStr">
        <is>
          <t>12 months, renewable; either party exits with 30 days notice, active projects protected</t>
        </is>
      </c>
    </row>
    <row r="29">
      <c r="A29" s="5" t="inlineStr">
        <is>
          <t>Fees</t>
        </is>
      </c>
      <c r="B29" s="6" t="inlineStr">
        <is>
          <t>Zero platform fees during founding period; leads we send are free; post-founding: 10% referral on Lumenwright-sourced project design fees</t>
        </is>
      </c>
    </row>
    <row r="30">
      <c r="A30" s="5" t="inlineStr">
        <is>
          <t>Product</t>
        </is>
      </c>
      <c r="B30" s="6" t="inlineStr">
        <is>
          <t>25% trade discount; Vela spec support incl. photometrics; NET-15 after first 3 orders</t>
        </is>
      </c>
    </row>
    <row r="31">
      <c r="A31" s="5" t="inlineStr">
        <is>
          <t>Standards</t>
        </is>
      </c>
      <c r="B31" s="6" t="inlineStr">
        <is>
          <t>1-business-day response SLA to intros; client survey after each project; co-marketing rights (both ways, approval required)</t>
        </is>
      </c>
    </row>
    <row r="32">
      <c r="A32" s="5" t="inlineStr">
        <is>
          <t>Exclusivity</t>
        </is>
      </c>
      <c r="B32" s="6" t="inlineStr">
        <is>
          <t>None — but 'Founding Member' badge is limited to 10, ever</t>
        </is>
      </c>
    </row>
    <row r="34">
      <c r="A34" s="3" t="inlineStr">
        <is>
          <t>6.5 ENABLEMENT KIT (ship within 1 week of signing)</t>
        </is>
      </c>
      <c r="B34" s="4" t="n"/>
      <c r="C34" s="4" t="n"/>
      <c r="D34" s="4" t="n"/>
    </row>
    <row r="35">
      <c r="A35" s="2" t="inlineStr">
        <is>
          <t>Welcome box: Vela Linea + Punto samples, candelabra warm-dim set, finish chips · Spec binder (cut sheets, IES files) · Co-branded audit one-pager · Directory profile live on /designers · Intro to their local EC sub where we have one</t>
        </is>
      </c>
    </row>
    <row r="37">
      <c r="A37" s="3" t="inlineStr">
        <is>
          <t>6.6 NETWORK SCORECARD (monthly)</t>
        </is>
      </c>
      <c r="B37" s="4" t="n"/>
      <c r="C37" s="4" t="n"/>
      <c r="D37" s="4" t="n"/>
    </row>
    <row r="38">
      <c r="A38" s="7" t="inlineStr">
        <is>
          <t>Metric</t>
        </is>
      </c>
      <c r="B38" s="7" t="inlineStr">
        <is>
          <t>Target</t>
        </is>
      </c>
    </row>
    <row r="39">
      <c r="A39" s="6" t="inlineStr">
        <is>
          <t>Intro → response within SLA</t>
        </is>
      </c>
      <c r="B39" s="6" t="inlineStr">
        <is>
          <t>100%</t>
        </is>
      </c>
    </row>
    <row r="40">
      <c r="A40" s="8" t="inlineStr">
        <is>
          <t>Intro → project conversion</t>
        </is>
      </c>
      <c r="B40" s="8" t="inlineStr">
        <is>
          <t>≥30%</t>
        </is>
      </c>
    </row>
    <row r="41">
      <c r="A41" s="6" t="inlineStr">
        <is>
          <t>Client satisfaction (post-project survey)</t>
        </is>
      </c>
      <c r="B41" s="6" t="inlineStr">
        <is>
          <t>≥4.7/5</t>
        </is>
      </c>
    </row>
    <row r="42">
      <c r="A42" s="8" t="inlineStr">
        <is>
          <t>Designer product orders/quarter</t>
        </is>
      </c>
      <c r="B42" s="8" t="inlineStr">
        <is>
          <t>≥1 per active member</t>
        </is>
      </c>
    </row>
    <row r="43">
      <c r="A43" s="6" t="inlineStr">
        <is>
          <t>Designer NPS</t>
        </is>
      </c>
      <c r="B43" s="6" t="inlineStr">
        <is>
          <t>≥60</t>
        </is>
      </c>
    </row>
    <row r="45">
      <c r="A45" s="3" t="inlineStr">
        <is>
          <t>6.7 EXPANSION RULE</t>
        </is>
      </c>
      <c r="B45" s="4" t="n"/>
      <c r="C45" s="4" t="n"/>
      <c r="D45" s="4" t="n"/>
    </row>
    <row r="46">
      <c r="A46" s="2" t="inlineStr">
        <is>
          <t>Open metro #2 only when: 3+ vetted applicants there + 10+ organic AI-plan leads/month from that metro + one anchor designer willing to co-launch. Network-led expansion costs ≈$3k (travel + enablement kits), not an office.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26" customWidth="1" min="4" max="4"/>
    <col width="30" customWidth="1" min="5" max="5"/>
    <col width="24" customWidth="1" min="6" max="6"/>
  </cols>
  <sheetData>
    <row r="1" ht="26" customHeight="1">
      <c r="A1" s="1" t="inlineStr">
        <is>
          <t>7 · DIGITAL MARKETING PLAN + SOCIAL STRATEGY</t>
        </is>
      </c>
    </row>
    <row r="3">
      <c r="A3" s="3" t="inlineStr">
        <is>
          <t>7.1 BRAND PILLARS (every piece of content maps to one)</t>
        </is>
      </c>
      <c r="B3" s="4" t="n"/>
      <c r="C3" s="4" t="n"/>
      <c r="D3" s="4" t="n"/>
      <c r="E3" s="4" t="n"/>
      <c r="F3" s="4" t="n"/>
    </row>
    <row r="4">
      <c r="A4" s="7" t="inlineStr">
        <is>
          <t>Pillar</t>
        </is>
      </c>
      <c r="B4" s="7" t="inlineStr">
        <is>
          <t>Story</t>
        </is>
      </c>
      <c r="C4" s="7" t="inlineStr">
        <is>
          <t>Proof format</t>
        </is>
      </c>
    </row>
    <row r="5">
      <c r="A5" s="6" t="inlineStr">
        <is>
          <t>Resurrection</t>
        </is>
      </c>
      <c r="B5" s="6" t="inlineStr">
        <is>
          <t>Dead heirlooms brought back to light</t>
        </is>
      </c>
      <c r="C5" s="6" t="inlineStr">
        <is>
          <t>Before/after restorations, process video</t>
        </is>
      </c>
    </row>
    <row r="6">
      <c r="A6" s="8" t="inlineStr">
        <is>
          <t>Craft</t>
        </is>
      </c>
      <c r="B6" s="8" t="inlineStr">
        <is>
          <t>How light is actually made — bench, brass, glass, dimming curves</t>
        </is>
      </c>
      <c r="C6" s="8" t="inlineStr">
        <is>
          <t>Macro shots, 'why warm-dim matters' explainers</t>
        </is>
      </c>
    </row>
    <row r="7">
      <c r="A7" s="6" t="inlineStr">
        <is>
          <t>Savings with taste</t>
        </is>
      </c>
      <c r="B7" s="6" t="inlineStr">
        <is>
          <t>LED conversion that doesn't look like an office supply store</t>
        </is>
      </c>
      <c r="C7" s="6" t="inlineStr">
        <is>
          <t>Retrofit case studies with kWh + design photos</t>
        </is>
      </c>
    </row>
    <row r="8">
      <c r="A8" s="8" t="inlineStr">
        <is>
          <t>The machine</t>
        </is>
      </c>
      <c r="B8" s="8" t="inlineStr">
        <is>
          <t>AI reads your room; a human designs it</t>
        </is>
      </c>
      <c r="C8" s="8" t="inlineStr">
        <is>
          <t>Screen-capture demos, plan→reality reveals</t>
        </is>
      </c>
    </row>
    <row r="10">
      <c r="A10" s="3" t="inlineStr">
        <is>
          <t>7.2 SEO — WHERE THE BUYING INTENT ALREADY IS</t>
        </is>
      </c>
      <c r="B10" s="4" t="n"/>
      <c r="C10" s="4" t="n"/>
      <c r="D10" s="4" t="n"/>
      <c r="E10" s="4" t="n"/>
      <c r="F10" s="4" t="n"/>
    </row>
    <row r="11">
      <c r="A11" s="7" t="inlineStr">
        <is>
          <t>Cluster</t>
        </is>
      </c>
      <c r="B11" s="7" t="inlineStr">
        <is>
          <t>Example keywords</t>
        </is>
      </c>
      <c r="C11" s="7" t="inlineStr">
        <is>
          <t>Page</t>
        </is>
      </c>
      <c r="D11" s="7" t="inlineStr">
        <is>
          <t>Priority</t>
        </is>
      </c>
    </row>
    <row r="12">
      <c r="A12" s="6" t="inlineStr">
        <is>
          <t>Restoration (local)</t>
        </is>
      </c>
      <c r="B12" s="6" t="inlineStr">
        <is>
          <t>chandelier repair near me · antique light restoration &lt;metro&gt; · rewire old chandelier</t>
        </is>
      </c>
      <c r="C12" s="6" t="inlineStr">
        <is>
          <t>Service pages + metro landing pages</t>
        </is>
      </c>
      <c r="D12" s="6" t="inlineStr">
        <is>
          <t>P0 — demand exists, supply is weak</t>
        </is>
      </c>
    </row>
    <row r="13">
      <c r="A13" s="8" t="inlineStr">
        <is>
          <t>Retrofit (commercial)</t>
        </is>
      </c>
      <c r="B13" s="8" t="inlineStr">
        <is>
          <t>led retrofit &lt;metro&gt; · fluorescent to led conversion cost · commercial lighting rebates &lt;state&gt;</t>
        </is>
      </c>
      <c r="C13" s="8" t="inlineStr">
        <is>
          <t>Retrofit page + ROI calculator (already built — a natural link magnet)</t>
        </is>
      </c>
      <c r="D13" s="8" t="inlineStr">
        <is>
          <t>P0</t>
        </is>
      </c>
    </row>
    <row r="14">
      <c r="A14" s="6" t="inlineStr">
        <is>
          <t>Vintage knowledge</t>
        </is>
      </c>
      <c r="B14" s="6" t="inlineStr">
        <is>
          <t>how to date an antique chandelier · are old chandeliers safe · sputnik chandelier history</t>
        </is>
      </c>
      <c r="C14" s="6" t="inlineStr">
        <is>
          <t>Blog/guides — top-funnel authority</t>
        </is>
      </c>
      <c r="D14" s="6" t="inlineStr">
        <is>
          <t>P1</t>
        </is>
      </c>
    </row>
    <row r="15">
      <c r="A15" s="8" t="inlineStr">
        <is>
          <t>Product</t>
        </is>
      </c>
      <c r="B15" s="8" t="inlineStr">
        <is>
          <t>warm dim candelabra led · plaster-in led channel · 2 inch trimless downlight</t>
        </is>
      </c>
      <c r="C15" s="8" t="inlineStr">
        <is>
          <t>Product pages (already indexed-ready)</t>
        </is>
      </c>
      <c r="D15" s="8" t="inlineStr">
        <is>
          <t>P1</t>
        </is>
      </c>
    </row>
    <row r="16">
      <c r="A16" s="2" t="inlineStr">
        <is>
          <t>Local moves: Google Business Profile with weekly photo posts (restorations are catnip); top-20 citations; review velocity (ask on delivery day, QR card in every crate); one metro landing page per service.</t>
        </is>
      </c>
    </row>
    <row r="18">
      <c r="A18" s="3" t="inlineStr">
        <is>
          <t>7.3 CONTENT ENGINE — ONE RESTORATION FEEDS EVERYTHING</t>
        </is>
      </c>
      <c r="B18" s="4" t="n"/>
      <c r="C18" s="4" t="n"/>
      <c r="D18" s="4" t="n"/>
      <c r="E18" s="4" t="n"/>
      <c r="F18" s="4" t="n"/>
    </row>
    <row r="19">
      <c r="A19" s="2" t="inlineStr">
        <is>
          <t>Every project is filmed. One restoration yields: 1 long-form YouTube (8–15 min process film) → 4–6 vertical clips (Reels/TikTok/Shorts) → 1 before/after carousel → 1 case-study page → 1 email → GBP posts. Batch production day: every other Friday. The niche precedent is proven — restoration/repair channels routinely build 100k+ audiences from bench footage; nobody owns 'chandelier surgeon' yet.</t>
        </is>
      </c>
    </row>
    <row r="21">
      <c r="A21" s="3" t="inlineStr">
        <is>
          <t>7.4 SOCIAL STRATEGY BY PLATFORM</t>
        </is>
      </c>
      <c r="B21" s="4" t="n"/>
      <c r="C21" s="4" t="n"/>
      <c r="D21" s="4" t="n"/>
      <c r="E21" s="4" t="n"/>
      <c r="F21" s="4" t="n"/>
    </row>
    <row r="22">
      <c r="A22" s="7" t="inlineStr">
        <is>
          <t>Platform</t>
        </is>
      </c>
      <c r="B22" s="7" t="inlineStr">
        <is>
          <t>Role</t>
        </is>
      </c>
      <c r="C22" s="7" t="inlineStr">
        <is>
          <t>Format</t>
        </is>
      </c>
      <c r="D22" s="7" t="inlineStr">
        <is>
          <t>Cadence</t>
        </is>
      </c>
      <c r="E22" s="7" t="inlineStr">
        <is>
          <t>12-mo KPI</t>
        </is>
      </c>
    </row>
    <row r="23">
      <c r="A23" s="6" t="inlineStr">
        <is>
          <t>Instagram</t>
        </is>
      </c>
      <c r="B23" s="6" t="inlineStr">
        <is>
          <t>Portfolio + designer credibility (trade watches here)</t>
        </is>
      </c>
      <c r="C23" s="6" t="inlineStr">
        <is>
          <t>Before/after carousels · process Reels · Stories from the bench</t>
        </is>
      </c>
      <c r="D23" s="6" t="inlineStr">
        <is>
          <t>4 posts + 3 Reels/wk</t>
        </is>
      </c>
      <c r="E23" s="6" t="inlineStr">
        <is>
          <t>8k followers · 50 designer DMs · top referral source for custom</t>
        </is>
      </c>
    </row>
    <row r="24">
      <c r="A24" s="8" t="inlineStr">
        <is>
          <t>TikTok</t>
        </is>
      </c>
      <c r="B24" s="8" t="inlineStr">
        <is>
          <t>Reach + the 'oddly satisfying' restoration audience</t>
        </is>
      </c>
      <c r="C24" s="8" t="inlineStr">
        <is>
          <t>Crystal cleaning, rewiring, first-light moments, ember-flicker demos</t>
        </is>
      </c>
      <c r="D24" s="8" t="inlineStr">
        <is>
          <t>3–5 clips/wk (reposts fine)</t>
        </is>
      </c>
      <c r="E24" s="8" t="inlineStr">
        <is>
          <t>1 breakout (&gt;500k views) · 15k followers</t>
        </is>
      </c>
    </row>
    <row r="25">
      <c r="A25" s="6" t="inlineStr">
        <is>
          <t>YouTube</t>
        </is>
      </c>
      <c r="B25" s="6" t="inlineStr">
        <is>
          <t>Trust + search ('how to' + process films)</t>
        </is>
      </c>
      <c r="C25" s="6" t="inlineStr">
        <is>
          <t>Long-form restorations · retrofit case walkthroughs · dimming science</t>
        </is>
      </c>
      <c r="D25" s="6" t="inlineStr">
        <is>
          <t>2/mo long-form + Shorts</t>
        </is>
      </c>
      <c r="E25" s="6" t="inlineStr">
        <is>
          <t>5k subs · ranks for 'chandelier restoration'</t>
        </is>
      </c>
    </row>
    <row r="26">
      <c r="A26" s="8" t="inlineStr">
        <is>
          <t>Pinterest</t>
        </is>
      </c>
      <c r="B26" s="8" t="inlineStr">
        <is>
          <t>Renovation planners (12–18 mo intent)</t>
        </is>
      </c>
      <c r="C26" s="8" t="inlineStr">
        <is>
          <t>Finished rooms, fixture boards by style</t>
        </is>
      </c>
      <c r="D26" s="8" t="inlineStr">
        <is>
          <t>10 pins/wk (scheduled)</t>
        </is>
      </c>
      <c r="E26" s="8" t="inlineStr">
        <is>
          <t>Steady referral traffic to product pages</t>
        </is>
      </c>
    </row>
    <row r="27">
      <c r="A27" s="6" t="inlineStr">
        <is>
          <t>LinkedIn</t>
        </is>
      </c>
      <c r="B27" s="6" t="inlineStr">
        <is>
          <t>Commercial retrofit + acquisition-side credibility</t>
        </is>
      </c>
      <c r="C27" s="6" t="inlineStr">
        <is>
          <t>Case studies w/ kWh math · rebate deadline alerts · founder build-in-public</t>
        </is>
      </c>
      <c r="D27" s="6" t="inlineStr">
        <is>
          <t>2/wk</t>
        </is>
      </c>
      <c r="E27" s="6" t="inlineStr">
        <is>
          <t>20 audit requests sourced</t>
        </is>
      </c>
    </row>
    <row r="28">
      <c r="A28" s="8" t="inlineStr">
        <is>
          <t>Facebook/Nextdoor</t>
        </is>
      </c>
      <c r="B28" s="8" t="inlineStr">
        <is>
          <t>Local homeowners + estate/antique groups</t>
        </is>
      </c>
      <c r="C28" s="8" t="inlineStr">
        <is>
          <t>GBP cross-posts; genuinely helpful answers in antique groups (no pitching)</t>
        </is>
      </c>
      <c r="D28" s="8" t="inlineStr">
        <is>
          <t>2/wk + group participation</t>
        </is>
      </c>
      <c r="E28" s="8" t="inlineStr">
        <is>
          <t>Local referral flywheel</t>
        </is>
      </c>
    </row>
    <row r="30">
      <c r="A30" s="3" t="inlineStr">
        <is>
          <t>7.5 PAID MEDIA (starts M4, AFTER 5 case studies)</t>
        </is>
      </c>
      <c r="B30" s="4" t="n"/>
      <c r="C30" s="4" t="n"/>
      <c r="D30" s="4" t="n"/>
      <c r="E30" s="4" t="n"/>
      <c r="F30" s="4" t="n"/>
    </row>
    <row r="31">
      <c r="A31" s="7" t="inlineStr">
        <is>
          <t>Channel</t>
        </is>
      </c>
      <c r="B31" s="7" t="inlineStr">
        <is>
          <t>Budget start → scale</t>
        </is>
      </c>
      <c r="C31" s="7" t="inlineStr">
        <is>
          <t>Target</t>
        </is>
      </c>
      <c r="D31" s="7" t="inlineStr">
        <is>
          <t>Kill rule</t>
        </is>
      </c>
    </row>
    <row r="32">
      <c r="A32" s="6" t="inlineStr">
        <is>
          <t>Google Local Services Ads</t>
        </is>
      </c>
      <c r="B32" s="6" t="inlineStr">
        <is>
          <t>$800/mo → $2k</t>
        </is>
      </c>
      <c r="C32" s="6" t="inlineStr">
        <is>
          <t>'Chandelier repair' + 'lighting installation' — pay per lead</t>
        </is>
      </c>
      <c r="D32" s="6" t="inlineStr">
        <is>
          <t>CPL &gt; $80 for 3 wks</t>
        </is>
      </c>
    </row>
    <row r="33">
      <c r="A33" s="8" t="inlineStr">
        <is>
          <t>Google Search (exact clusters)</t>
        </is>
      </c>
      <c r="B33" s="8" t="inlineStr">
        <is>
          <t>$1,200/mo → $4k</t>
        </is>
      </c>
      <c r="C33" s="8" t="inlineStr">
        <is>
          <t>Retrofit + restoration intent terms; LP = audit booking / restoration intake</t>
        </is>
      </c>
      <c r="D33" s="8" t="inlineStr">
        <is>
          <t>CAC &gt; segment ceiling (tab 4)</t>
        </is>
      </c>
    </row>
    <row r="34">
      <c r="A34" s="6" t="inlineStr">
        <is>
          <t>Meta retargeting</t>
        </is>
      </c>
      <c r="B34" s="6" t="inlineStr">
        <is>
          <t>$400/mo</t>
        </is>
      </c>
      <c r="C34" s="6" t="inlineStr">
        <is>
          <t>AI-plan users + site visitors → consult booking</t>
        </is>
      </c>
      <c r="D34" s="6" t="inlineStr">
        <is>
          <t>ROAS &lt; 3 after 60 days</t>
        </is>
      </c>
    </row>
    <row r="35">
      <c r="A35" s="8" t="inlineStr">
        <is>
          <t>Meta prospecting</t>
        </is>
      </c>
      <c r="B35" s="8" t="inlineStr">
        <is>
          <t>$0 until Phase 2</t>
        </is>
      </c>
      <c r="C35" s="8" t="inlineStr">
        <is>
          <t>Lookalikes of consult bookers; creative = restoration video</t>
        </is>
      </c>
      <c r="D35" s="8" t="inlineStr">
        <is>
          <t>Never scale before retargeting works</t>
        </is>
      </c>
    </row>
    <row r="37">
      <c r="A37" s="3" t="inlineStr">
        <is>
          <t>7.6 EMAIL — THE AI-PLAN FOLLOW-UP (already capturing via Supabase)</t>
        </is>
      </c>
      <c r="B37" s="4" t="n"/>
      <c r="C37" s="4" t="n"/>
      <c r="D37" s="4" t="n"/>
      <c r="E37" s="4" t="n"/>
      <c r="F37" s="4" t="n"/>
    </row>
    <row r="38">
      <c r="A38" s="7" t="inlineStr">
        <is>
          <t>Day</t>
        </is>
      </c>
      <c r="B38" s="7" t="inlineStr">
        <is>
          <t>Email</t>
        </is>
      </c>
      <c r="C38" s="7" t="inlineStr">
        <is>
          <t>Job</t>
        </is>
      </c>
    </row>
    <row r="39">
      <c r="A39" s="6" t="n">
        <v>0</v>
      </c>
      <c r="B39" s="6" t="inlineStr">
        <is>
          <t>Your lighting plan (PDF render of the AI plan)</t>
        </is>
      </c>
      <c r="C39" s="6" t="inlineStr">
        <is>
          <t>Deliver value; set consult CTA</t>
        </is>
      </c>
    </row>
    <row r="40">
      <c r="A40" s="8" t="n">
        <v>2</v>
      </c>
      <c r="B40" s="8" t="inlineStr">
        <is>
          <t>The one mistake in most &lt;room&gt; lighting</t>
        </is>
      </c>
      <c r="C40" s="8" t="inlineStr">
        <is>
          <t>Teach; build authority</t>
        </is>
      </c>
    </row>
    <row r="41">
      <c r="A41" s="6" t="n">
        <v>5</v>
      </c>
      <c r="B41" s="6" t="inlineStr">
        <is>
          <t>What this looks like in real homes (case study)</t>
        </is>
      </c>
      <c r="C41" s="6" t="inlineStr">
        <is>
          <t>Proof</t>
        </is>
      </c>
    </row>
    <row r="42">
      <c r="A42" s="8" t="n">
        <v>9</v>
      </c>
      <c r="B42" s="8" t="inlineStr">
        <is>
          <t>What it costs (honest ranges + payback)</t>
        </is>
      </c>
      <c r="C42" s="8" t="inlineStr">
        <is>
          <t>Qualify; kill price anxiety</t>
        </is>
      </c>
    </row>
    <row r="43">
      <c r="A43" s="6" t="n">
        <v>14</v>
      </c>
      <c r="B43" s="6" t="inlineStr">
        <is>
          <t>20-minute designer review — calendar link</t>
        </is>
      </c>
      <c r="C43" s="6" t="inlineStr">
        <is>
          <t>Convert; last touch before monthly digest</t>
        </is>
      </c>
    </row>
    <row r="44">
      <c r="A44" s="2" t="inlineStr">
        <is>
          <t>Also: monthly 'From the Bench' digest (1 restoration, 1 tip, 1 open slot) — the long-cycle nurture for 12-month renovators.</t>
        </is>
      </c>
    </row>
    <row r="46">
      <c r="A46" s="3" t="inlineStr">
        <is>
          <t>7.7 BUDGET + FUNNEL TARGETS</t>
        </is>
      </c>
      <c r="B46" s="4" t="n"/>
      <c r="C46" s="4" t="n"/>
      <c r="D46" s="4" t="n"/>
      <c r="E46" s="4" t="n"/>
      <c r="F46" s="4" t="n"/>
    </row>
    <row r="47">
      <c r="A47" s="7" t="inlineStr">
        <is>
          <t>Period</t>
        </is>
      </c>
      <c r="B47" s="7" t="inlineStr">
        <is>
          <t>Monthly budget</t>
        </is>
      </c>
      <c r="C47" s="7" t="inlineStr">
        <is>
          <t>Expected leads</t>
        </is>
      </c>
      <c r="D47" s="7" t="inlineStr">
        <is>
          <t>Consults</t>
        </is>
      </c>
      <c r="E47" s="7" t="inlineStr">
        <is>
          <t>Projects</t>
        </is>
      </c>
      <c r="F47" s="7" t="inlineStr">
        <is>
          <t>Blended CAC check</t>
        </is>
      </c>
    </row>
    <row r="48">
      <c r="A48" s="6" t="inlineStr">
        <is>
          <t>M1–3 (organic+founding)</t>
        </is>
      </c>
      <c r="B48" s="6" t="inlineStr">
        <is>
          <t>$500 (tools/boosts)</t>
        </is>
      </c>
      <c r="C48" s="6" t="inlineStr">
        <is>
          <t>30</t>
        </is>
      </c>
      <c r="D48" s="6" t="inlineStr">
        <is>
          <t>12</t>
        </is>
      </c>
      <c r="E48" s="6" t="inlineStr">
        <is>
          <t>6 (founding)</t>
        </is>
      </c>
      <c r="F48" s="6" t="inlineStr">
        <is>
          <t>n/a — proof phase</t>
        </is>
      </c>
    </row>
    <row r="49">
      <c r="A49" s="8" t="inlineStr">
        <is>
          <t>M4–6 (paid pilot)</t>
        </is>
      </c>
      <c r="B49" s="8" t="inlineStr">
        <is>
          <t>$2,500</t>
        </is>
      </c>
      <c r="C49" s="8" t="inlineStr">
        <is>
          <t>60</t>
        </is>
      </c>
      <c r="D49" s="8" t="inlineStr">
        <is>
          <t>18</t>
        </is>
      </c>
      <c r="E49" s="8" t="inlineStr">
        <is>
          <t>6–8</t>
        </is>
      </c>
      <c r="F49" s="8" t="inlineStr">
        <is>
          <t>≤$450 res / ≤$1,200 comm</t>
        </is>
      </c>
    </row>
    <row r="50">
      <c r="A50" s="6" t="inlineStr">
        <is>
          <t>M7–12 (scale winners)</t>
        </is>
      </c>
      <c r="B50" s="6" t="inlineStr">
        <is>
          <t>$4,000–6,000</t>
        </is>
      </c>
      <c r="C50" s="6" t="inlineStr">
        <is>
          <t>100+</t>
        </is>
      </c>
      <c r="D50" s="6" t="inlineStr">
        <is>
          <t>30</t>
        </is>
      </c>
      <c r="E50" s="6" t="inlineStr">
        <is>
          <t>10–14</t>
        </is>
      </c>
      <c r="F50" s="6" t="inlineStr">
        <is>
          <t>Same ceilings; kill losers monthly</t>
        </is>
      </c>
    </row>
    <row r="52">
      <c r="A52" s="3" t="inlineStr">
        <is>
          <t>7.8 12-WEEK LAUNCH SOCIAL CALENDAR (repeatable skeleton)</t>
        </is>
      </c>
      <c r="B52" s="4" t="n"/>
      <c r="C52" s="4" t="n"/>
      <c r="D52" s="4" t="n"/>
      <c r="E52" s="4" t="n"/>
      <c r="F52" s="4" t="n"/>
    </row>
    <row r="53">
      <c r="A53" s="7" t="inlineStr">
        <is>
          <t>Week</t>
        </is>
      </c>
      <c r="B53" s="7" t="inlineStr">
        <is>
          <t>Hero content</t>
        </is>
      </c>
      <c r="C53" s="7" t="inlineStr">
        <is>
          <t>Supporting posts</t>
        </is>
      </c>
    </row>
    <row r="54">
      <c r="A54" s="6" t="inlineStr">
        <is>
          <t>1</t>
        </is>
      </c>
      <c r="B54" s="6" t="inlineStr">
        <is>
          <t>Launch film: 'Why we bring dead light back'</t>
        </is>
      </c>
      <c r="C54" s="6" t="inlineStr">
        <is>
          <t>Founder intro · bench tour · GBP launch post</t>
        </is>
      </c>
    </row>
    <row r="55">
      <c r="A55" s="8" t="inlineStr">
        <is>
          <t>2</t>
        </is>
      </c>
      <c r="B55" s="8" t="inlineStr">
        <is>
          <t>Restoration #1 long-form (YouTube)</t>
        </is>
      </c>
      <c r="C55" s="8" t="inlineStr">
        <is>
          <t>3 clips · before/after carousel · dossier close-up</t>
        </is>
      </c>
    </row>
    <row r="56">
      <c r="A56" s="6" t="inlineStr">
        <is>
          <t>3</t>
        </is>
      </c>
      <c r="B56" s="6" t="inlineStr">
        <is>
          <t>AI Studio demo (photo → plan in 60s)</t>
        </is>
      </c>
      <c r="C56" s="6" t="inlineStr">
        <is>
          <t>Plan→reality split-screens · 'what the AI saw'</t>
        </is>
      </c>
    </row>
    <row r="57">
      <c r="A57" s="8" t="inlineStr">
        <is>
          <t>4</t>
        </is>
      </c>
      <c r="B57" s="8" t="inlineStr">
        <is>
          <t>Retrofit case: '&lt;Client&gt; cut lighting energy 58%'</t>
        </is>
      </c>
      <c r="C57" s="8" t="inlineStr">
        <is>
          <t>kWh math explainer · rebate deadline PSA (LinkedIn)</t>
        </is>
      </c>
    </row>
    <row r="58">
      <c r="A58" s="6" t="inlineStr">
        <is>
          <t>5–12</t>
        </is>
      </c>
      <c r="B58" s="6" t="inlineStr">
        <is>
          <t>Alternate: restoration film / retrofit case / craft explainer / designer feature</t>
        </is>
      </c>
      <c r="C58" s="6" t="inlineStr">
        <is>
          <t>Each hero → 4–6 cutdowns + 1 email + GBP; feature one founding designer/mo (their audience becomes yours)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  <col width="46" customWidth="1" min="4" max="4"/>
  </cols>
  <sheetData>
    <row r="1" ht="26" customHeight="1">
      <c r="A1" s="1" t="inlineStr">
        <is>
          <t>8 · VENDORS + SOURCING — WHO MAKES EVERYTHING</t>
        </is>
      </c>
    </row>
    <row r="2">
      <c r="A2" s="2" t="inlineStr">
        <is>
          <t>Rule: two qualified sources per critical category before Phase 2. Named companies below are established, well-known suppliers to start diligence with — verify current terms directly; this is a sourcing map, not an endorsement list.</t>
        </is>
      </c>
    </row>
    <row r="4">
      <c r="A4" s="3" t="inlineStr">
        <is>
          <t>8.1 SOURCING MAP BY CATEGORY</t>
        </is>
      </c>
      <c r="B4" s="4" t="n"/>
      <c r="C4" s="4" t="n"/>
      <c r="D4" s="4" t="n"/>
    </row>
    <row r="5">
      <c r="A5" s="7" t="inlineStr">
        <is>
          <t>Category</t>
        </is>
      </c>
      <c r="B5" s="7" t="inlineStr">
        <is>
          <t>What</t>
        </is>
      </c>
      <c r="C5" s="7" t="inlineStr">
        <is>
          <t>Where to source (start here)</t>
        </is>
      </c>
      <c r="D5" s="7" t="inlineStr">
        <is>
          <t>Terms to target</t>
        </is>
      </c>
    </row>
    <row r="6">
      <c r="A6" s="6" t="inlineStr">
        <is>
          <t>LED engines &amp; drivers</t>
        </is>
      </c>
      <c r="B6" s="6" t="inlineStr">
        <is>
          <t>COBs, modules, drivers for custom builds + Vela</t>
        </is>
      </c>
      <c r="C6" s="6" t="inlineStr">
        <is>
          <t>Drivers: Mean Well, Inventronics · COB/modules: Bridgelux, Citizen, Samsung LED · via distributors: Future Electronics, Arrow, DigiKey for protos</t>
        </is>
      </c>
      <c r="D6" s="6" t="inlineStr">
        <is>
          <t>Distributor accounts; datasheet + LM-80 on file for everything installed</t>
        </is>
      </c>
    </row>
    <row r="7">
      <c r="A7" s="8" t="inlineStr">
        <is>
          <t>Retrofit kits &amp; lamps (resale)</t>
        </is>
      </c>
      <c r="B7" s="8" t="inlineStr">
        <is>
          <t>DLC-listed troffer kits, UFO high bays, track heads, warm-dim candelabra</t>
        </is>
      </c>
      <c r="C7" s="8" t="inlineStr">
        <is>
          <t>Search DLC Qualified Products List (designlights.org) then buy through electrical distribution: Rexel, CED, Graybar, City Electric · known retrofit brands to price: Keystone Technologies, Espen Technology, EarthTronics, RAB, Sylvania/LEDVANCE</t>
        </is>
      </c>
      <c r="D7" s="8" t="inlineStr">
        <is>
          <t>Contractor pricing account + NET-30; DLC listing verified per SKU (rebate eligibility!)</t>
        </is>
      </c>
    </row>
    <row r="8">
      <c r="A8" s="6" t="inlineStr">
        <is>
          <t>Vela Series ODM</t>
        </is>
      </c>
      <c r="B8" s="6" t="inlineStr">
        <is>
          <t>Linea channel, Punto downlight, Arco cove, Firma grazer, Scena controls</t>
        </is>
      </c>
      <c r="C8" s="6" t="inlineStr">
        <is>
          <t>Route A (speed): white-label from Alibaba Verified/Trade Assurance suppliers (search 'plaster-in aluminum profile LED', 'trimless 2 inch downlight') · Route B (quality): Taiwan/Korea ODMs via Taipei Int'l Lighting Show · Route C (US assembly): extrusions imported, boards + assembly domestic for 'assembled in USA' spec story</t>
        </is>
      </c>
      <c r="D8" s="6" t="inlineStr">
        <is>
          <t>Samples first, always · LM-79/LM-80 test reports · 30/70 payment (30% PO, 70% after 3rd-party inspection) · NNN agreement (not just NDA) for custom tooling · QIMA or SGS inspection every production PO</t>
        </is>
      </c>
    </row>
    <row r="9">
      <c r="A9" s="8" t="inlineStr">
        <is>
          <t>Restoration parts</t>
        </is>
      </c>
      <c r="B9" s="8" t="inlineStr">
        <is>
          <t>Sockets, cloth wire, arms, canopies, crystal, glass</t>
        </is>
      </c>
      <c r="C9" s="8" t="inlineStr">
        <is>
          <t>Grand Brass Lamp Parts (NY) · B&amp;P Lamp Supply (TN, trade account) · crystal: import replacements via European/Egyptian crystal houses, match-service from strung samples · custom glass: local glassblowing studios (find via craft guilds + art schools)</t>
        </is>
      </c>
      <c r="D9" s="8" t="inlineStr">
        <is>
          <t>Trade accounts at both majors (resale cert required); keep a $2–3k parts library of the 50 most-used pieces</t>
        </is>
      </c>
    </row>
    <row r="10">
      <c r="A10" s="6" t="inlineStr">
        <is>
          <t>Antique fixture inventory</t>
        </is>
      </c>
      <c r="B10" s="6" t="inlineStr">
        <is>
          <t>One-of-ones for the Vintage collection</t>
        </is>
      </c>
      <c r="C10" s="6" t="inlineStr">
        <is>
          <t>Estate sales (EstateSales.net alerts) · architectural salvage: Olde Good Things and regional salvage yards · auctions: LiveAuctioneers/local auction houses · demolition contractors (call them — they throw chandeliers away) · 'we buy broken chandeliers' page on our own site</t>
        </is>
      </c>
      <c r="D10" s="6" t="inlineStr">
        <is>
          <t>Buy at ≤15% of expected restored retail; document provenance at purchase</t>
        </is>
      </c>
    </row>
    <row r="11">
      <c r="A11" s="8" t="inlineStr">
        <is>
          <t>Custom fabrication</t>
        </is>
      </c>
      <c r="B11" s="8" t="inlineStr">
        <is>
          <t>Machining, spinning, casting, powder coat, plating</t>
        </is>
      </c>
      <c r="C11" s="8" t="inlineStr">
        <is>
          <t>ThomasNet/Xometry for machined + sheet parts · local metal spinners + powder coaters (audit in person) · plating: regional job shops (nickel/brass) — restoration-grade matters</t>
        </is>
      </c>
      <c r="D11" s="8" t="inlineStr">
        <is>
          <t>2 shops per process; prototype tolerance agreement before first client job</t>
        </is>
      </c>
    </row>
    <row r="12">
      <c r="A12" s="6" t="inlineStr">
        <is>
          <t>Controls ecosystem</t>
        </is>
      </c>
      <c r="B12" s="6" t="inlineStr">
        <is>
          <t>Dimmers, wireless, DALI, keypads</t>
        </is>
      </c>
      <c r="C12" s="6" t="inlineStr">
        <is>
          <t>Lutron (residential + commercial programs) · Casambi partner program (wireless) · DALI-2 components via distribution</t>
        </is>
      </c>
      <c r="D12" s="6" t="inlineStr">
        <is>
          <t>Join Lutron/Casambi pro programs early — training + demo gear + spec listing</t>
        </is>
      </c>
    </row>
    <row r="13">
      <c r="A13" s="8" t="inlineStr">
        <is>
          <t>Crating &amp; freight</t>
        </is>
      </c>
      <c r="B13" s="8" t="inlineStr">
        <is>
          <t>Insured fixture transport (ship-in restorations!)</t>
        </is>
      </c>
      <c r="C13" s="8" t="inlineStr">
        <is>
          <t>Custom crating: local crate shops or build in-house (jig on Ops list) · freight: FedEx Freight/regional LTL + Craters &amp; Freighters for white-glove</t>
        </is>
      </c>
      <c r="D13" s="8" t="inlineStr">
        <is>
          <t>Declared-value insurance ALWAYS; photo protocol at pack + unpack</t>
        </is>
      </c>
    </row>
    <row r="14">
      <c r="A14" s="6" t="inlineStr">
        <is>
          <t>Lamp/ballast recycling</t>
        </is>
      </c>
      <c r="B14" s="6" t="inlineStr">
        <is>
          <t>Compliance disposal for retrofits</t>
        </is>
      </c>
      <c r="C14" s="6" t="inlineStr">
        <is>
          <t>National mail-back/box programs and regional universal-waste recyclers (search state environmental agency's approved list)</t>
        </is>
      </c>
      <c r="D14" s="6" t="inlineStr">
        <is>
          <t>Keep manifests 3 yrs; show clients the certificate — it sells</t>
        </is>
      </c>
    </row>
    <row r="16">
      <c r="A16" s="3" t="inlineStr">
        <is>
          <t>8.2 TRADE SHOWS &amp; SOURCING CALENDAR</t>
        </is>
      </c>
      <c r="B16" s="4" t="n"/>
      <c r="C16" s="4" t="n"/>
      <c r="D16" s="4" t="n"/>
    </row>
    <row r="17">
      <c r="A17" s="7" t="inlineStr">
        <is>
          <t>Event</t>
        </is>
      </c>
      <c r="B17" s="7" t="inlineStr">
        <is>
          <t>When/where (verify dates)</t>
        </is>
      </c>
      <c r="C17" s="7" t="inlineStr">
        <is>
          <t>Go for</t>
        </is>
      </c>
    </row>
    <row r="18">
      <c r="A18" s="6" t="inlineStr">
        <is>
          <t>LEDucation</t>
        </is>
      </c>
      <c r="B18" s="6" t="inlineStr">
        <is>
          <t>Mar · NYC</t>
        </is>
      </c>
      <c r="C18" s="6" t="inlineStr">
        <is>
          <t>Architectural LED suppliers, controls, cheap to attend — best first show</t>
        </is>
      </c>
    </row>
    <row r="19">
      <c r="A19" s="8" t="inlineStr">
        <is>
          <t>LightFair</t>
        </is>
      </c>
      <c r="B19" s="8" t="inlineStr">
        <is>
          <t>Rotates (major US lighting show)</t>
        </is>
      </c>
      <c r="C19" s="8" t="inlineStr">
        <is>
          <t>Retrofit OEMs, DLC vendors, rep relationships</t>
        </is>
      </c>
    </row>
    <row r="20">
      <c r="A20" s="6" t="inlineStr">
        <is>
          <t>Light + Building</t>
        </is>
      </c>
      <c r="B20" s="6" t="inlineStr">
        <is>
          <t>Frankfurt · biennial (even yrs)</t>
        </is>
      </c>
      <c r="C20" s="6" t="inlineStr">
        <is>
          <t>Design direction + European component sources — Phase 3 trip</t>
        </is>
      </c>
    </row>
    <row r="21">
      <c r="A21" s="8" t="inlineStr">
        <is>
          <t>Hong Kong Int'l Lighting Fair</t>
        </is>
      </c>
      <c r="B21" s="8" t="inlineStr">
        <is>
          <t>Oct · HK</t>
        </is>
      </c>
      <c r="C21" s="8" t="inlineStr">
        <is>
          <t>ODM speed-dating for Vela — bring the spec book</t>
        </is>
      </c>
    </row>
    <row r="22">
      <c r="A22" s="6" t="inlineStr">
        <is>
          <t>High Point Market</t>
        </is>
      </c>
      <c r="B22" s="6" t="inlineStr">
        <is>
          <t>Apr + Oct · NC</t>
        </is>
      </c>
      <c r="C22" s="6" t="inlineStr">
        <is>
          <t>Where interior designers shop — sell side, not buy side</t>
        </is>
      </c>
    </row>
    <row r="24">
      <c r="A24" s="3" t="inlineStr">
        <is>
          <t>8.3 VENDOR VETTING CHECKLIST (any vendor &gt; $5k/yr)</t>
        </is>
      </c>
      <c r="B24" s="4" t="n"/>
      <c r="C24" s="4" t="n"/>
      <c r="D24" s="4" t="n"/>
    </row>
    <row r="25">
      <c r="A25" s="2" t="inlineStr">
        <is>
          <t>□ Business verified (registry/D&amp;B or Alibaba Verified+years) □ 3 references or review history □ Sample evaluated on OUR test rig (dimmer wall, CCT meter) □ Test reports where applicable (LM-79/LM-80, UL/ETL cert numbers verified on UL database) □ Written lead times + late-delivery remedy □ Payment terms in writing □ Second source identified □ For ODM: NNN signed, tooling ownership stated, inspection rights in PO</t>
        </is>
      </c>
    </row>
    <row r="27">
      <c r="A27" s="3" t="inlineStr">
        <is>
          <t>8.4 MADE-TO-ORDER FULFILLMENT FLOW (matches the Supabase order pipeline)</t>
        </is>
      </c>
      <c r="B27" s="4" t="n"/>
      <c r="C27" s="4" t="n"/>
      <c r="D27" s="4" t="n"/>
    </row>
    <row r="28">
      <c r="A28" s="7" t="inlineStr">
        <is>
          <t>Step</t>
        </is>
      </c>
      <c r="B28" s="7" t="inlineStr">
        <is>
          <t>Actor</t>
        </is>
      </c>
      <c r="C28" s="7" t="inlineStr">
        <is>
          <t>System state (order_requests.status)</t>
        </is>
      </c>
    </row>
    <row r="29">
      <c r="A29" s="6" t="inlineStr">
        <is>
          <t>Client configures + requests order</t>
        </is>
      </c>
      <c r="B29" s="6" t="inlineStr">
        <is>
          <t>Site</t>
        </is>
      </c>
      <c r="C29" s="6" t="inlineStr">
        <is>
          <t>new</t>
        </is>
      </c>
    </row>
    <row r="30">
      <c r="A30" s="8" t="inlineStr">
        <is>
          <t>We confirm options/price/lead time; take 50% deposit</t>
        </is>
      </c>
      <c r="B30" s="8" t="inlineStr">
        <is>
          <t>Founder</t>
        </is>
      </c>
      <c r="C30" s="8" t="inlineStr">
        <is>
          <t>confirmed</t>
        </is>
      </c>
    </row>
    <row r="31">
      <c r="A31" s="6" t="inlineStr">
        <is>
          <t>PO to manufacturer/fabricator with spec pack</t>
        </is>
      </c>
      <c r="B31" s="6" t="inlineStr">
        <is>
          <t>Founder</t>
        </is>
      </c>
      <c r="C31" s="6" t="inlineStr">
        <is>
          <t>sent_to_manufacturer</t>
        </is>
      </c>
    </row>
    <row r="32">
      <c r="A32" s="8" t="inlineStr">
        <is>
          <t>Inspection (photos or 3rd-party for Vela POs) → ship/crate</t>
        </is>
      </c>
      <c r="B32" s="8" t="inlineStr">
        <is>
          <t>Vendor + us</t>
        </is>
      </c>
      <c r="C32" s="8" t="inlineStr">
        <is>
          <t>sent_to_manufacturer</t>
        </is>
      </c>
    </row>
    <row r="33">
      <c r="A33" s="6" t="inlineStr">
        <is>
          <t>Delivery/install + commissioning; balance collected; service record opened</t>
        </is>
      </c>
      <c r="B33" s="6" t="inlineStr">
        <is>
          <t>Us/EC sub</t>
        </is>
      </c>
      <c r="C33" s="6" t="inlineStr">
        <is>
          <t>fulfilled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4" customWidth="1" min="3" max="3"/>
    <col width="40" customWidth="1" min="4" max="4"/>
    <col width="26" customWidth="1" min="5" max="5"/>
  </cols>
  <sheetData>
    <row r="1" ht="26" customHeight="1">
      <c r="A1" s="1" t="inlineStr">
        <is>
          <t>9 · FUNDING STACK — SBA + COMPLEMENTS, AND STARTUP COSTS</t>
        </is>
      </c>
    </row>
    <row r="3">
      <c r="A3" s="3" t="inlineStr">
        <is>
          <t>9.1 STARTUP COSTS (one-time + first-6-months runway)</t>
        </is>
      </c>
      <c r="B3" s="4" t="n"/>
      <c r="C3" s="4" t="n"/>
      <c r="D3" s="4" t="n"/>
      <c r="E3" s="4" t="n"/>
    </row>
    <row r="4">
      <c r="A4" s="7" t="inlineStr">
        <is>
          <t>Category</t>
        </is>
      </c>
      <c r="B4" s="7" t="inlineStr">
        <is>
          <t>Item</t>
        </is>
      </c>
      <c r="C4" s="7" t="inlineStr">
        <is>
          <t>Amount</t>
        </is>
      </c>
    </row>
    <row r="5">
      <c r="A5" s="6" t="inlineStr">
        <is>
          <t>Legal &amp; compliance</t>
        </is>
      </c>
      <c r="B5" s="6" t="inlineStr">
        <is>
          <t>LLC/registrations, contracts drafted (founding client, sub agreement, network terms), state filings</t>
        </is>
      </c>
      <c r="C5" s="27" t="n">
        <v>3500</v>
      </c>
    </row>
    <row r="6">
      <c r="A6" s="8" t="inlineStr">
        <is>
          <t>Insurance</t>
        </is>
      </c>
      <c r="B6" s="8" t="inlineStr">
        <is>
          <t>GL + products/completed-ops + inland marine + commercial auto (6 mo premiums)</t>
        </is>
      </c>
      <c r="C6" s="28" t="n">
        <v>5500</v>
      </c>
    </row>
    <row r="7">
      <c r="A7" s="6" t="inlineStr">
        <is>
          <t>Licensing path</t>
        </is>
      </c>
      <c r="B7" s="6" t="inlineStr">
        <is>
          <t>EC sub onboarding, permits float, owner course/exam fees</t>
        </is>
      </c>
      <c r="C7" s="27" t="n">
        <v>2500</v>
      </c>
    </row>
    <row r="8">
      <c r="A8" s="8" t="inlineStr">
        <is>
          <t>Workshop equipment</t>
        </is>
      </c>
      <c r="B8" s="8" t="inlineStr">
        <is>
          <t>Restoration bench, rewiring tools, dimmer test wall, CCT/flicker meter, crating jig</t>
        </is>
      </c>
      <c r="C8" s="28" t="n">
        <v>9500</v>
      </c>
    </row>
    <row r="9">
      <c r="A9" s="6" t="inlineStr">
        <is>
          <t>Vehicle</t>
        </is>
      </c>
      <c r="B9" s="6" t="inlineStr">
        <is>
          <t>Used cargo van + wrap + shelving</t>
        </is>
      </c>
      <c r="C9" s="27" t="n">
        <v>21000</v>
      </c>
    </row>
    <row r="10">
      <c r="A10" s="8" t="inlineStr">
        <is>
          <t>Vela launch stock</t>
        </is>
      </c>
      <c r="B10" s="8" t="inlineStr">
        <is>
          <t>Samples + first production PO (capped)</t>
        </is>
      </c>
      <c r="C10" s="28" t="n">
        <v>12000</v>
      </c>
    </row>
    <row r="11">
      <c r="A11" s="6" t="inlineStr">
        <is>
          <t>Restoration parts library</t>
        </is>
      </c>
      <c r="B11" s="6" t="inlineStr">
        <is>
          <t>Top-50 parts stock (Grand Brass/B&amp;P opening orders)</t>
        </is>
      </c>
      <c r="C11" s="27" t="n">
        <v>2500</v>
      </c>
    </row>
    <row r="12">
      <c r="A12" s="8" t="inlineStr">
        <is>
          <t>Brand &amp; site</t>
        </is>
      </c>
      <c r="B12" s="8" t="inlineStr">
        <is>
          <t>Domain, email, photography kit (used FF camera + lights), print (audit one-pagers, crate QR cards)</t>
        </is>
      </c>
      <c r="C12" s="28" t="n">
        <v>3000</v>
      </c>
    </row>
    <row r="13">
      <c r="A13" s="6" t="inlineStr">
        <is>
          <t>Marketing launch</t>
        </is>
      </c>
      <c r="B13" s="6" t="inlineStr">
        <is>
          <t>M1–6 budget incl. paid pilot (tab 7)</t>
        </is>
      </c>
      <c r="C13" s="27" t="n">
        <v>9000</v>
      </c>
    </row>
    <row r="14">
      <c r="A14" s="8" t="inlineStr">
        <is>
          <t>Software/ops</t>
        </is>
      </c>
      <c r="B14" s="8" t="inlineStr">
        <is>
          <t>QuickBooks, field app, scheduling, misc SaaS (6 mo)</t>
        </is>
      </c>
      <c r="C14" s="28" t="n">
        <v>1500</v>
      </c>
    </row>
    <row r="15">
      <c r="A15" s="6" t="inlineStr">
        <is>
          <t>Trade shows/sourcing</t>
        </is>
      </c>
      <c r="B15" s="6" t="inlineStr">
        <is>
          <t>LEDucation trip + ODM sample costs</t>
        </is>
      </c>
      <c r="C15" s="27" t="n">
        <v>3000</v>
      </c>
    </row>
    <row r="16">
      <c r="A16" s="8" t="inlineStr">
        <is>
          <t>Working capital reserve</t>
        </is>
      </c>
      <c r="B16" s="8" t="inlineStr">
        <is>
          <t>6 mo fixed costs buffer (the 'sleep at night' line)</t>
        </is>
      </c>
      <c r="C16" s="28" t="n">
        <v>40500</v>
      </c>
    </row>
    <row r="17">
      <c r="A17" s="6" t="inlineStr">
        <is>
          <t>Contingency</t>
        </is>
      </c>
      <c r="B17" s="6" t="inlineStr">
        <is>
          <t>10% of above</t>
        </is>
      </c>
      <c r="C17" s="27" t="n">
        <v>5000</v>
      </c>
    </row>
    <row r="18">
      <c r="A18" s="7" t="inlineStr">
        <is>
          <t>TOTAL</t>
        </is>
      </c>
      <c r="B18" s="7" t="inlineStr"/>
      <c r="C18" s="7" t="n">
        <v>118500</v>
      </c>
    </row>
    <row r="20">
      <c r="A20" s="3" t="inlineStr">
        <is>
          <t>9.2 THE FUNDING STACK (recommended sequence)</t>
        </is>
      </c>
      <c r="B20" s="4" t="n"/>
      <c r="C20" s="4" t="n"/>
      <c r="D20" s="4" t="n"/>
      <c r="E20" s="4" t="n"/>
    </row>
    <row r="21">
      <c r="A21" s="7" t="inlineStr">
        <is>
          <t>Layer</t>
        </is>
      </c>
      <c r="B21" s="7" t="inlineStr">
        <is>
          <t>Amount</t>
        </is>
      </c>
      <c r="C21" s="7" t="inlineStr">
        <is>
          <t>Source</t>
        </is>
      </c>
      <c r="D21" s="7" t="inlineStr">
        <is>
          <t>Terms (typical — verify current)</t>
        </is>
      </c>
      <c r="E21" s="7" t="inlineStr">
        <is>
          <t>When</t>
        </is>
      </c>
    </row>
    <row r="22">
      <c r="A22" s="6" t="inlineStr">
        <is>
          <t>1. Owner injection</t>
        </is>
      </c>
      <c r="B22" s="6" t="inlineStr">
        <is>
          <t>$18,500</t>
        </is>
      </c>
      <c r="C22" s="6" t="inlineStr">
        <is>
          <t>Personal savings</t>
        </is>
      </c>
      <c r="D22" s="6" t="inlineStr">
        <is>
          <t>Equity — lenders want to see ~10–15% skin</t>
        </is>
      </c>
      <c r="E22" s="6" t="inlineStr">
        <is>
          <t>Now</t>
        </is>
      </c>
    </row>
    <row r="23">
      <c r="A23" s="8" t="inlineStr">
        <is>
          <t>2. SBA Microloan</t>
        </is>
      </c>
      <c r="B23" s="8" t="inlineStr">
        <is>
          <t>$50,000</t>
        </is>
      </c>
      <c r="C23" s="8" t="inlineStr">
        <is>
          <t>Nonprofit intermediary/CDFI (find via SBA Lender Match)</t>
        </is>
      </c>
      <c r="D23" s="8" t="inlineStr">
        <is>
          <t>≤$50k · ~8–13% · ≤7 yrs · faster + startup-friendly + free TA coaching</t>
        </is>
      </c>
      <c r="E23" s="8" t="inlineStr">
        <is>
          <t>Apply Jul, fund by Sep</t>
        </is>
      </c>
    </row>
    <row r="24">
      <c r="A24" s="6" t="inlineStr">
        <is>
          <t>3. Equipment financing</t>
        </is>
      </c>
      <c r="B24" s="6" t="inlineStr">
        <is>
          <t>$21,000</t>
        </is>
      </c>
      <c r="C24" s="6" t="inlineStr">
        <is>
          <t>Bank/credit union or dealer</t>
        </is>
      </c>
      <c r="D24" s="6" t="inlineStr">
        <is>
          <t>Van as collateral · 6–9% · 5 yrs · preserves cash vs buying outright</t>
        </is>
      </c>
      <c r="E24" s="6" t="inlineStr">
        <is>
          <t>At purchase (Aug)</t>
        </is>
      </c>
    </row>
    <row r="25">
      <c r="A25" s="8" t="inlineStr">
        <is>
          <t>4. SBA 7(a) Small</t>
        </is>
      </c>
      <c r="B25" s="8" t="inlineStr">
        <is>
          <t>$75,000–150,000</t>
        </is>
      </c>
      <c r="C25" s="8" t="inlineStr">
        <is>
          <t>SBA-preferred bank (community banks, Live Oak-style SBA specialists, Huntington)</t>
        </is>
      </c>
      <c r="D25" s="8" t="inlineStr">
        <is>
          <t>Prime + ~2.75–4.75% · ≤10 yrs working capital · personal guarantee + likely blanket lien</t>
        </is>
      </c>
      <c r="E25" s="8" t="inlineStr">
        <is>
          <t>Apply M4–6 WITH TRACTION (founding projects + this workbook + actuals) — approval odds and terms improve dramatically</t>
        </is>
      </c>
    </row>
    <row r="26">
      <c r="A26" s="6" t="inlineStr">
        <is>
          <t>5. SBA CAPLine / bank LOC</t>
        </is>
      </c>
      <c r="B26" s="6" t="inlineStr">
        <is>
          <t>$25,000–50,000</t>
        </is>
      </c>
      <c r="C26" s="6" t="inlineStr">
        <is>
          <t>Same lender as 7(a)</t>
        </is>
      </c>
      <c r="D26" s="6" t="inlineStr">
        <is>
          <t>Revolving; for retrofit WIP timing gaps</t>
        </is>
      </c>
      <c r="E26" s="6" t="inlineStr">
        <is>
          <t>Secure in M6–9 BEFORE it's needed</t>
        </is>
      </c>
    </row>
    <row r="27">
      <c r="A27" s="8" t="inlineStr">
        <is>
          <t>Later: SBA 504</t>
        </is>
      </c>
      <c r="B27" s="8" t="inlineStr">
        <is>
          <t>TBD</t>
        </is>
      </c>
      <c r="C27" s="8" t="inlineStr">
        <is>
          <t>CDC + bank</t>
        </is>
      </c>
      <c r="D27" s="8" t="inlineStr">
        <is>
          <t>Owner-occupied facility purchase, ~10% down, long fixed</t>
        </is>
      </c>
      <c r="E27" s="8" t="inlineStr">
        <is>
          <t>Phase 3 if buying the shop</t>
        </is>
      </c>
    </row>
    <row r="28">
      <c r="A28" s="2" t="inlineStr">
        <is>
          <t>Why staged: microloan now funds launch without betting everything on one approval; the 7(a) lands after 3–6 months of real revenue, which converts you from 'idea borrower' (hard) to 'traction borrower' (routine).</t>
        </is>
      </c>
    </row>
    <row r="30">
      <c r="A30" s="3" t="inlineStr">
        <is>
          <t>9.3 NON-DEBT COMPLEMENTS</t>
        </is>
      </c>
      <c r="B30" s="4" t="n"/>
      <c r="C30" s="4" t="n"/>
      <c r="D30" s="4" t="n"/>
      <c r="E30" s="4" t="n"/>
    </row>
    <row r="31">
      <c r="A31" s="7" t="inlineStr">
        <is>
          <t>Source</t>
        </is>
      </c>
      <c r="B31" s="7" t="inlineStr">
        <is>
          <t>Fit</t>
        </is>
      </c>
      <c r="C31" s="7" t="inlineStr">
        <is>
          <t>Notes</t>
        </is>
      </c>
    </row>
    <row r="32">
      <c r="A32" s="6" t="inlineStr">
        <is>
          <t>Customer deposits</t>
        </is>
      </c>
      <c r="B32" s="6" t="inlineStr">
        <is>
          <t>Core — negative working capital by design</t>
        </is>
      </c>
      <c r="C32" s="6" t="inlineStr">
        <is>
          <t>50% deposits are the cheapest financing that exists</t>
        </is>
      </c>
    </row>
    <row r="33">
      <c r="A33" s="8" t="inlineStr">
        <is>
          <t>Vendor terms</t>
        </is>
      </c>
      <c r="B33" s="8" t="inlineStr">
        <is>
          <t>NET-30/60 at distributors after 2–3 orders</t>
        </is>
      </c>
      <c r="C33" s="8" t="inlineStr">
        <is>
          <t>Ask at every account opening; it's free float</t>
        </is>
      </c>
    </row>
    <row r="34">
      <c r="A34" s="6" t="inlineStr">
        <is>
          <t>Utility on-bill financing / C-PACE</t>
        </is>
      </c>
      <c r="B34" s="6" t="inlineStr">
        <is>
          <t>Finances the CLIENT's retrofit, not us</t>
        </is>
      </c>
      <c r="C34" s="6" t="inlineStr">
        <is>
          <t>Closes deals without us carrying paper — learn local programs in Phase 0</t>
        </is>
      </c>
    </row>
    <row r="35">
      <c r="A35" s="8" t="inlineStr">
        <is>
          <t>State/utility efficiency grants</t>
        </is>
      </c>
      <c r="B35" s="8" t="inlineStr">
        <is>
          <t>Occasional small-biz energy grants</t>
        </is>
      </c>
      <c r="C35" s="8" t="inlineStr">
        <is>
          <t>Check state energy office + utility trade-ally programs; also register as a trade ally (lead source!)</t>
        </is>
      </c>
    </row>
    <row r="36">
      <c r="A36" s="6" t="inlineStr">
        <is>
          <t>Revenue-based financing / Stripe Capital</t>
        </is>
      </c>
      <c r="B36" s="6" t="inlineStr">
        <is>
          <t>Phase 2+, only against proven margin</t>
        </is>
      </c>
      <c r="C36" s="6" t="inlineStr">
        <is>
          <t>Expensive; use for inventory turns, never payroll</t>
        </is>
      </c>
    </row>
    <row r="37">
      <c r="A37" s="8" t="inlineStr">
        <is>
          <t>Angels/strategic</t>
        </is>
      </c>
      <c r="B37" s="8" t="inlineStr">
        <is>
          <t>Only for the Vela spinout thesis (Phase 4)</t>
        </is>
      </c>
      <c r="C37" s="8" t="inlineStr">
        <is>
          <t>Don't sell equity to fund a services launch that debt covers</t>
        </is>
      </c>
    </row>
    <row r="39">
      <c r="A39" s="3" t="inlineStr">
        <is>
          <t>9.4 LENDER READINESS CHECKLIST</t>
        </is>
      </c>
      <c r="B39" s="4" t="n"/>
      <c r="C39" s="4" t="n"/>
      <c r="D39" s="4" t="n"/>
      <c r="E39" s="4" t="n"/>
    </row>
    <row r="40">
      <c r="A40" s="2" t="inlineStr">
        <is>
          <t>□ This workbook (plan + forecast) □ Personal financial statement + 3 yrs personal returns □ Credit ≥680 (check + fix now) □ Owner injection documented (bank stmts) □ Entity docs, EIN, licenses/insurance certs □ Use-of-funds table (9.1) □ Collateral schedule (van, equipment, blanket lien expectation) □ DSCR story: forecast shows ≥1.25 coverage by M12 □ 2-min pitch: what, who pays, why you, why now □ Apply to 3 lenders in parallel — terms vary wildly</t>
        </is>
      </c>
    </row>
    <row r="42">
      <c r="A42" s="3" t="inlineStr">
        <is>
          <t>9.5 USE-OF-FUNDS TIMELINE</t>
        </is>
      </c>
      <c r="B42" s="4" t="n"/>
      <c r="C42" s="4" t="n"/>
      <c r="D42" s="4" t="n"/>
      <c r="E42" s="4" t="n"/>
    </row>
    <row r="43">
      <c r="A43" s="7" t="inlineStr">
        <is>
          <t>Month</t>
        </is>
      </c>
      <c r="B43" s="7" t="inlineStr">
        <is>
          <t>Deployed</t>
        </is>
      </c>
      <c r="C43" s="7" t="inlineStr">
        <is>
          <t>Purpose</t>
        </is>
      </c>
    </row>
    <row r="44">
      <c r="A44" s="6" t="inlineStr">
        <is>
          <t>Jul–Aug</t>
        </is>
      </c>
      <c r="B44" s="6" t="inlineStr">
        <is>
          <t>$38k</t>
        </is>
      </c>
      <c r="C44" s="6" t="inlineStr">
        <is>
          <t>Setup: legal, insurance, equipment, van (financed), samples, brand</t>
        </is>
      </c>
    </row>
    <row r="45">
      <c r="A45" s="8" t="inlineStr">
        <is>
          <t>Sep–Oct</t>
        </is>
      </c>
      <c r="B45" s="8" t="inlineStr">
        <is>
          <t>$25k</t>
        </is>
      </c>
      <c r="C45" s="8" t="inlineStr">
        <is>
          <t>Vela stock, parts library, launch marketing, working capital begins</t>
        </is>
      </c>
    </row>
    <row r="46">
      <c r="A46" s="6" t="inlineStr">
        <is>
          <t>Nov–Mar</t>
        </is>
      </c>
      <c r="B46" s="6" t="inlineStr">
        <is>
          <t>$45k</t>
        </is>
      </c>
      <c r="C46" s="6" t="inlineStr">
        <is>
          <t>Runway coverage while founding projects convert to full-price pipeline; paid media pilot</t>
        </is>
      </c>
    </row>
    <row r="47">
      <c r="A47" s="8" t="inlineStr">
        <is>
          <t>Reserve</t>
        </is>
      </c>
      <c r="B47" s="8" t="inlineStr">
        <is>
          <t>$10k+</t>
        </is>
      </c>
      <c r="C47" s="8" t="inlineStr">
        <is>
          <t>Untouched contingency — replenish before growth spending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2026-07-07T23:30:20Z</dcterms:created>
  <dcterms:modified xsi:type="dcterms:W3CDTF">2026-07-07T23:30:20Z</dcterms:modified>
</cp:coreProperties>
</file>